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rio\Downloads\"/>
    </mc:Choice>
  </mc:AlternateContent>
  <xr:revisionPtr revIDLastSave="0" documentId="13_ncr:1_{6E99857C-7229-43C4-A8CD-E87931F0F9A5}" xr6:coauthVersionLast="45" xr6:coauthVersionMax="45" xr10:uidLastSave="{00000000-0000-0000-0000-000000000000}"/>
  <bookViews>
    <workbookView xWindow="-120" yWindow="-120" windowWidth="38640" windowHeight="15840" xr2:uid="{00000000-000D-0000-FFFF-FFFF00000000}"/>
  </bookViews>
  <sheets>
    <sheet name="Instancia" sheetId="5" r:id="rId1"/>
    <sheet name="Ahorros" sheetId="7" r:id="rId2"/>
    <sheet name="Distancias" sheetId="2" state="hidden" r:id="rId3"/>
  </sheets>
  <definedNames>
    <definedName name="solver_adj" localSheetId="0" hidden="1">Instancia!$T$17:$Z$17</definedName>
    <definedName name="solver_cvg" localSheetId="0" hidden="1">0.0001</definedName>
    <definedName name="solver_drv" localSheetId="0" hidden="1">1</definedName>
    <definedName name="solver_eng" localSheetId="0" hidden="1">3</definedName>
    <definedName name="solver_est" localSheetId="0" hidden="1">1</definedName>
    <definedName name="solver_itr" localSheetId="0" hidden="1">2147483647</definedName>
    <definedName name="solver_lhs1" localSheetId="0" hidden="1">Instancia!$T$17:$Z$17</definedName>
    <definedName name="solver_lhs2" localSheetId="0" hidden="1">Instancia!$T$17:$Z$17</definedName>
    <definedName name="solver_lhs3" localSheetId="0" hidden="1">Instancia!$T$17:$Z$17</definedName>
    <definedName name="solver_lhs4" localSheetId="0" hidden="1">Instancia!$T$17:$Z$17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Instancia!$AA$15</definedName>
    <definedName name="solver_pre" localSheetId="0" hidden="1">0.000001</definedName>
    <definedName name="solver_rbv" localSheetId="0" hidden="1">1</definedName>
    <definedName name="solver_rel1" localSheetId="0" hidden="1">6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hs1" localSheetId="0" hidden="1">Todos diferentes</definedName>
    <definedName name="solver_rhs2" localSheetId="0" hidden="1">Instancia!$AB$17</definedName>
    <definedName name="solver_rhs3" localSheetId="0" hidden="1">Instancia!$AB$17</definedName>
    <definedName name="solver_rhs4" localSheetId="0" hidden="1">Instancia!$AB$17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Z15" i="5" l="1"/>
  <c r="Z14" i="5"/>
  <c r="U3" i="5"/>
  <c r="AC3" i="5" l="1"/>
  <c r="Z9" i="5"/>
  <c r="K12" i="7" s="1"/>
  <c r="J12" i="7"/>
  <c r="I12" i="7"/>
  <c r="H12" i="7"/>
  <c r="Y9" i="5"/>
  <c r="G12" i="7" s="1"/>
  <c r="X9" i="5"/>
  <c r="F12" i="7" s="1"/>
  <c r="W9" i="5"/>
  <c r="E12" i="7" s="1"/>
  <c r="V9" i="5"/>
  <c r="D12" i="7" s="1"/>
  <c r="U9" i="5"/>
  <c r="C12" i="7" s="1"/>
  <c r="T9" i="5"/>
  <c r="B12" i="7" s="1"/>
  <c r="K11" i="7"/>
  <c r="J11" i="7"/>
  <c r="I11" i="7"/>
  <c r="H11" i="7"/>
  <c r="G11" i="7"/>
  <c r="F11" i="7"/>
  <c r="E11" i="7"/>
  <c r="D11" i="7"/>
  <c r="C11" i="7"/>
  <c r="B11" i="7"/>
  <c r="K10" i="7"/>
  <c r="J10" i="7"/>
  <c r="I10" i="7"/>
  <c r="H10" i="7"/>
  <c r="G10" i="7"/>
  <c r="F10" i="7"/>
  <c r="E10" i="7"/>
  <c r="D10" i="7"/>
  <c r="C10" i="7"/>
  <c r="B10" i="7"/>
  <c r="K9" i="7"/>
  <c r="J9" i="7"/>
  <c r="I9" i="7"/>
  <c r="H9" i="7"/>
  <c r="G9" i="7"/>
  <c r="F9" i="7"/>
  <c r="E9" i="7"/>
  <c r="D9" i="7"/>
  <c r="C9" i="7"/>
  <c r="B9" i="7"/>
  <c r="Z8" i="5"/>
  <c r="K8" i="7" s="1"/>
  <c r="J8" i="7"/>
  <c r="I8" i="7"/>
  <c r="H8" i="7"/>
  <c r="Y8" i="5"/>
  <c r="G8" i="7" s="1"/>
  <c r="X8" i="5"/>
  <c r="F8" i="7" s="1"/>
  <c r="W8" i="5"/>
  <c r="E8" i="7" s="1"/>
  <c r="V8" i="5"/>
  <c r="D8" i="7" s="1"/>
  <c r="U8" i="5"/>
  <c r="C8" i="7" s="1"/>
  <c r="T8" i="5"/>
  <c r="B8" i="7" s="1"/>
  <c r="Z7" i="5"/>
  <c r="K7" i="7" s="1"/>
  <c r="J7" i="7"/>
  <c r="I7" i="7"/>
  <c r="H7" i="7"/>
  <c r="Y7" i="5"/>
  <c r="G7" i="7" s="1"/>
  <c r="X7" i="5"/>
  <c r="F7" i="7" s="1"/>
  <c r="W7" i="5"/>
  <c r="E7" i="7" s="1"/>
  <c r="V7" i="5"/>
  <c r="D7" i="7" s="1"/>
  <c r="U7" i="5"/>
  <c r="C7" i="7" s="1"/>
  <c r="T7" i="5"/>
  <c r="B7" i="7" s="1"/>
  <c r="Z6" i="5"/>
  <c r="K6" i="7" s="1"/>
  <c r="J6" i="7"/>
  <c r="I6" i="7"/>
  <c r="H6" i="7"/>
  <c r="Y6" i="5"/>
  <c r="G6" i="7" s="1"/>
  <c r="X6" i="5"/>
  <c r="F6" i="7" s="1"/>
  <c r="W6" i="5"/>
  <c r="E6" i="7" s="1"/>
  <c r="V6" i="5"/>
  <c r="D6" i="7" s="1"/>
  <c r="U6" i="5"/>
  <c r="C6" i="7" s="1"/>
  <c r="T6" i="5"/>
  <c r="B6" i="7" s="1"/>
  <c r="Z5" i="5"/>
  <c r="K5" i="7" s="1"/>
  <c r="J5" i="7"/>
  <c r="I5" i="7"/>
  <c r="H5" i="7"/>
  <c r="Y5" i="5"/>
  <c r="G5" i="7" s="1"/>
  <c r="X5" i="5"/>
  <c r="F5" i="7" s="1"/>
  <c r="W5" i="5"/>
  <c r="E5" i="7" s="1"/>
  <c r="V5" i="5"/>
  <c r="D5" i="7" s="1"/>
  <c r="U5" i="5"/>
  <c r="C5" i="7" s="1"/>
  <c r="T5" i="5"/>
  <c r="B5" i="7" s="1"/>
  <c r="Z4" i="5"/>
  <c r="K4" i="7" s="1"/>
  <c r="J4" i="7"/>
  <c r="I4" i="7"/>
  <c r="H4" i="7"/>
  <c r="Y4" i="5"/>
  <c r="G4" i="7" s="1"/>
  <c r="X4" i="5"/>
  <c r="F4" i="7" s="1"/>
  <c r="W4" i="5"/>
  <c r="E4" i="7" s="1"/>
  <c r="V4" i="5"/>
  <c r="D4" i="7" s="1"/>
  <c r="U4" i="5"/>
  <c r="C4" i="7" s="1"/>
  <c r="T4" i="5"/>
  <c r="B4" i="7" s="1"/>
  <c r="Z3" i="5"/>
  <c r="K3" i="7" s="1"/>
  <c r="J3" i="7"/>
  <c r="I3" i="7"/>
  <c r="H3" i="7"/>
  <c r="Y3" i="5"/>
  <c r="G3" i="7" s="1"/>
  <c r="X3" i="5"/>
  <c r="F3" i="7" s="1"/>
  <c r="W3" i="5"/>
  <c r="E3" i="7" s="1"/>
  <c r="V3" i="5"/>
  <c r="D3" i="7" s="1"/>
  <c r="C3" i="7"/>
  <c r="T3" i="5"/>
  <c r="B3" i="7" s="1"/>
  <c r="B9" i="5"/>
  <c r="B8" i="5"/>
  <c r="B7" i="5"/>
  <c r="D7" i="5" s="1"/>
  <c r="B6" i="5"/>
  <c r="B5" i="5"/>
  <c r="B4" i="5"/>
  <c r="B3" i="5"/>
  <c r="D3" i="5" s="1"/>
  <c r="C3" i="5" l="1"/>
  <c r="N7" i="7"/>
  <c r="N11" i="7"/>
  <c r="U11" i="7"/>
  <c r="V6" i="7"/>
  <c r="T3" i="7"/>
  <c r="W4" i="7"/>
  <c r="W3" i="7"/>
  <c r="Q9" i="7"/>
  <c r="P9" i="7"/>
  <c r="S9" i="7"/>
  <c r="S10" i="7"/>
  <c r="R12" i="7"/>
  <c r="Q7" i="7"/>
  <c r="V5" i="7"/>
  <c r="O5" i="7"/>
  <c r="U5" i="7"/>
  <c r="U4" i="7"/>
  <c r="O7" i="7"/>
  <c r="R3" i="7"/>
  <c r="P4" i="7"/>
  <c r="V3" i="7"/>
  <c r="N6" i="7"/>
  <c r="P8" i="7"/>
  <c r="U12" i="7"/>
  <c r="U3" i="7"/>
  <c r="T12" i="7"/>
  <c r="T4" i="7"/>
  <c r="O3" i="7"/>
  <c r="Q3" i="7"/>
  <c r="O12" i="7"/>
  <c r="T10" i="7"/>
  <c r="R8" i="7"/>
  <c r="P6" i="7"/>
  <c r="P3" i="7"/>
  <c r="N12" i="7"/>
  <c r="Q10" i="7"/>
  <c r="O8" i="7"/>
  <c r="T11" i="7"/>
  <c r="N3" i="7"/>
  <c r="W11" i="7"/>
  <c r="W7" i="7"/>
  <c r="S12" i="7"/>
  <c r="R11" i="7"/>
  <c r="P10" i="7"/>
  <c r="O9" i="7"/>
  <c r="W8" i="7"/>
  <c r="N8" i="7"/>
  <c r="V7" i="7"/>
  <c r="U6" i="7"/>
  <c r="T5" i="7"/>
  <c r="S4" i="7"/>
  <c r="O10" i="7"/>
  <c r="N9" i="7"/>
  <c r="V8" i="7"/>
  <c r="U7" i="7"/>
  <c r="T6" i="7"/>
  <c r="S5" i="7"/>
  <c r="R4" i="7"/>
  <c r="Q12" i="7"/>
  <c r="P11" i="7"/>
  <c r="W10" i="7"/>
  <c r="N10" i="7"/>
  <c r="V9" i="7"/>
  <c r="U8" i="7"/>
  <c r="T7" i="7"/>
  <c r="S6" i="7"/>
  <c r="R5" i="7"/>
  <c r="Q4" i="7"/>
  <c r="S11" i="7"/>
  <c r="S3" i="7"/>
  <c r="Q11" i="7"/>
  <c r="W9" i="7"/>
  <c r="P12" i="7"/>
  <c r="O11" i="7"/>
  <c r="V10" i="7"/>
  <c r="U9" i="7"/>
  <c r="T8" i="7"/>
  <c r="S7" i="7"/>
  <c r="R6" i="7"/>
  <c r="Q5" i="7"/>
  <c r="N4" i="7"/>
  <c r="V12" i="7"/>
  <c r="R9" i="7"/>
  <c r="Q8" i="7"/>
  <c r="P7" i="7"/>
  <c r="O6" i="7"/>
  <c r="W5" i="7"/>
  <c r="N5" i="7"/>
  <c r="V4" i="7"/>
  <c r="R10" i="7"/>
  <c r="W6" i="7"/>
  <c r="Y15" i="5" l="1"/>
  <c r="X15" i="5"/>
  <c r="W15" i="5"/>
  <c r="V15" i="5"/>
  <c r="U15" i="5"/>
  <c r="T15" i="5"/>
  <c r="AC9" i="5"/>
  <c r="AC8" i="5"/>
  <c r="AC7" i="5"/>
  <c r="AC6" i="5"/>
  <c r="AC5" i="5"/>
  <c r="AC4" i="5"/>
  <c r="B2" i="5"/>
  <c r="Y14" i="5"/>
  <c r="X14" i="5"/>
  <c r="W14" i="5"/>
  <c r="V14" i="5"/>
  <c r="U14" i="5"/>
  <c r="T14" i="5"/>
  <c r="C4" i="5" l="1"/>
  <c r="C7" i="5"/>
  <c r="D8" i="5"/>
  <c r="D9" i="5"/>
  <c r="D5" i="5"/>
  <c r="D6" i="5"/>
  <c r="AA15" i="5"/>
  <c r="C8" i="5"/>
  <c r="C5" i="5"/>
  <c r="C9" i="5"/>
  <c r="C6" i="5"/>
  <c r="D4" i="5"/>
  <c r="R2" i="2"/>
  <c r="AB13" i="2"/>
  <c r="Z7" i="2"/>
  <c r="C2" i="2"/>
  <c r="X2" i="2" l="1"/>
  <c r="Z2" i="2"/>
  <c r="R11" i="2"/>
  <c r="X13" i="2"/>
  <c r="J2" i="2"/>
  <c r="F7" i="2"/>
  <c r="C17" i="2"/>
  <c r="L9" i="2"/>
  <c r="Z15" i="2"/>
  <c r="X17" i="2"/>
  <c r="H2" i="2"/>
  <c r="C7" i="2"/>
  <c r="J9" i="2"/>
  <c r="P11" i="2"/>
  <c r="V13" i="2"/>
  <c r="AB15" i="2"/>
  <c r="P2" i="2"/>
  <c r="N5" i="2"/>
  <c r="T7" i="2"/>
  <c r="Z9" i="2"/>
  <c r="F13" i="2"/>
  <c r="L15" i="2"/>
  <c r="R17" i="2"/>
  <c r="P5" i="2"/>
  <c r="V7" i="2"/>
  <c r="AB9" i="2"/>
  <c r="H13" i="2"/>
  <c r="N15" i="2"/>
  <c r="T17" i="2"/>
  <c r="F5" i="2"/>
  <c r="V5" i="2"/>
  <c r="L7" i="2"/>
  <c r="AB7" i="2"/>
  <c r="R9" i="2"/>
  <c r="H11" i="2"/>
  <c r="X11" i="2"/>
  <c r="N13" i="2"/>
  <c r="C15" i="2"/>
  <c r="T15" i="2"/>
  <c r="J17" i="2"/>
  <c r="Z17" i="2"/>
  <c r="H5" i="2"/>
  <c r="X5" i="2"/>
  <c r="N7" i="2"/>
  <c r="C9" i="2"/>
  <c r="T9" i="2"/>
  <c r="J11" i="2"/>
  <c r="Z11" i="2"/>
  <c r="P13" i="2"/>
  <c r="F15" i="2"/>
  <c r="V15" i="2"/>
  <c r="L17" i="2"/>
  <c r="AB17" i="2"/>
  <c r="L2" i="2"/>
  <c r="T2" i="2"/>
  <c r="AB2" i="2"/>
  <c r="J5" i="2"/>
  <c r="R5" i="2"/>
  <c r="Z5" i="2"/>
  <c r="H7" i="2"/>
  <c r="P7" i="2"/>
  <c r="X7" i="2"/>
  <c r="F9" i="2"/>
  <c r="N9" i="2"/>
  <c r="V9" i="2"/>
  <c r="C11" i="2"/>
  <c r="L11" i="2"/>
  <c r="T11" i="2"/>
  <c r="AB11" i="2"/>
  <c r="J13" i="2"/>
  <c r="R13" i="2"/>
  <c r="Z13" i="2"/>
  <c r="H15" i="2"/>
  <c r="P15" i="2"/>
  <c r="X15" i="2"/>
  <c r="F17" i="2"/>
  <c r="N17" i="2"/>
  <c r="V17" i="2"/>
  <c r="F2" i="2"/>
  <c r="N2" i="2"/>
  <c r="V2" i="2"/>
  <c r="C5" i="2"/>
  <c r="L5" i="2"/>
  <c r="T5" i="2"/>
  <c r="AB5" i="2"/>
  <c r="J7" i="2"/>
  <c r="R7" i="2"/>
  <c r="H9" i="2"/>
  <c r="P9" i="2"/>
  <c r="X9" i="2"/>
  <c r="F11" i="2"/>
  <c r="N11" i="2"/>
  <c r="V11" i="2"/>
  <c r="C13" i="2"/>
  <c r="L13" i="2"/>
  <c r="T13" i="2"/>
  <c r="J15" i="2"/>
  <c r="R15" i="2"/>
  <c r="H17" i="2"/>
  <c r="P17" i="2"/>
  <c r="Z6" i="2"/>
  <c r="Y8" i="2"/>
  <c r="U10" i="2"/>
  <c r="Y12" i="2"/>
  <c r="O15" i="2"/>
  <c r="AA13" i="2"/>
  <c r="H12" i="2"/>
  <c r="G2" i="2"/>
  <c r="AB4" i="2"/>
  <c r="AA16" i="2"/>
  <c r="I17" i="2"/>
  <c r="V10" i="2"/>
  <c r="M6" i="2"/>
  <c r="K15" i="2"/>
  <c r="W2" i="2"/>
  <c r="C4" i="2"/>
  <c r="S5" i="2"/>
  <c r="U6" i="2"/>
  <c r="I7" i="2"/>
  <c r="G8" i="2"/>
  <c r="P12" i="2"/>
  <c r="L4" i="2"/>
  <c r="Y7" i="2"/>
  <c r="O8" i="2"/>
  <c r="O9" i="2"/>
  <c r="F10" i="2"/>
  <c r="E11" i="2"/>
  <c r="X12" i="2"/>
  <c r="I14" i="2"/>
  <c r="F16" i="2"/>
  <c r="T4" i="2"/>
  <c r="E6" i="2"/>
  <c r="W8" i="2"/>
  <c r="N10" i="2"/>
  <c r="U11" i="2"/>
  <c r="K13" i="2"/>
  <c r="S14" i="2"/>
  <c r="Q16" i="2"/>
  <c r="S2" i="2"/>
  <c r="I3" i="2"/>
  <c r="G4" i="2"/>
  <c r="O4" i="2"/>
  <c r="W4" i="2"/>
  <c r="O5" i="2"/>
  <c r="F6" i="2"/>
  <c r="N6" i="2"/>
  <c r="V6" i="2"/>
  <c r="E7" i="2"/>
  <c r="U7" i="2"/>
  <c r="H8" i="2"/>
  <c r="P8" i="2"/>
  <c r="X8" i="2"/>
  <c r="K9" i="2"/>
  <c r="AA9" i="2"/>
  <c r="I10" i="2"/>
  <c r="Q10" i="2"/>
  <c r="Y10" i="2"/>
  <c r="Q11" i="2"/>
  <c r="K12" i="2"/>
  <c r="S12" i="2"/>
  <c r="AA12" i="2"/>
  <c r="G13" i="2"/>
  <c r="W13" i="2"/>
  <c r="J14" i="2"/>
  <c r="T14" i="2"/>
  <c r="G16" i="2"/>
  <c r="R16" i="2"/>
  <c r="O2" i="2"/>
  <c r="M3" i="2"/>
  <c r="H4" i="2"/>
  <c r="P4" i="2"/>
  <c r="X4" i="2"/>
  <c r="K5" i="2"/>
  <c r="AA5" i="2"/>
  <c r="I6" i="2"/>
  <c r="Q6" i="2"/>
  <c r="Y6" i="2"/>
  <c r="Q7" i="2"/>
  <c r="K8" i="2"/>
  <c r="S8" i="2"/>
  <c r="AA8" i="2"/>
  <c r="G9" i="2"/>
  <c r="W9" i="2"/>
  <c r="J10" i="2"/>
  <c r="R10" i="2"/>
  <c r="Z10" i="2"/>
  <c r="M11" i="2"/>
  <c r="C12" i="2"/>
  <c r="L12" i="2"/>
  <c r="T12" i="2"/>
  <c r="AB12" i="2"/>
  <c r="S13" i="2"/>
  <c r="E14" i="2"/>
  <c r="M14" i="2"/>
  <c r="X14" i="2"/>
  <c r="AA15" i="2"/>
  <c r="K16" i="2"/>
  <c r="V16" i="2"/>
  <c r="Y17" i="2"/>
  <c r="K2" i="2"/>
  <c r="AA2" i="2"/>
  <c r="Y3" i="2"/>
  <c r="K4" i="2"/>
  <c r="S4" i="2"/>
  <c r="AA4" i="2"/>
  <c r="G5" i="2"/>
  <c r="W5" i="2"/>
  <c r="J6" i="2"/>
  <c r="R6" i="2"/>
  <c r="M7" i="2"/>
  <c r="C8" i="2"/>
  <c r="L8" i="2"/>
  <c r="T8" i="2"/>
  <c r="AB8" i="2"/>
  <c r="S9" i="2"/>
  <c r="E10" i="2"/>
  <c r="M10" i="2"/>
  <c r="I11" i="2"/>
  <c r="Y11" i="2"/>
  <c r="G12" i="2"/>
  <c r="O12" i="2"/>
  <c r="W12" i="2"/>
  <c r="O13" i="2"/>
  <c r="F14" i="2"/>
  <c r="O14" i="2"/>
  <c r="Y14" i="2"/>
  <c r="M16" i="2"/>
  <c r="W16" i="2"/>
  <c r="M17" i="2"/>
  <c r="G17" i="2"/>
  <c r="K17" i="2"/>
  <c r="O17" i="2"/>
  <c r="Z14" i="2"/>
  <c r="V14" i="2"/>
  <c r="R14" i="2"/>
  <c r="N14" i="2"/>
  <c r="S17" i="2"/>
  <c r="Y15" i="2"/>
  <c r="E4" i="2"/>
  <c r="M4" i="2"/>
  <c r="Q4" i="2"/>
  <c r="U4" i="2"/>
  <c r="Y4" i="2"/>
  <c r="G6" i="2"/>
  <c r="O6" i="2"/>
  <c r="S6" i="2"/>
  <c r="W6" i="2"/>
  <c r="AA6" i="2"/>
  <c r="E8" i="2"/>
  <c r="I8" i="2"/>
  <c r="M8" i="2"/>
  <c r="Q8" i="2"/>
  <c r="U8" i="2"/>
  <c r="G10" i="2"/>
  <c r="K10" i="2"/>
  <c r="O10" i="2"/>
  <c r="S10" i="2"/>
  <c r="W10" i="2"/>
  <c r="AA10" i="2"/>
  <c r="E12" i="2"/>
  <c r="I12" i="2"/>
  <c r="M12" i="2"/>
  <c r="Q12" i="2"/>
  <c r="U12" i="2"/>
  <c r="G14" i="2"/>
  <c r="K14" i="2"/>
  <c r="P14" i="2"/>
  <c r="U14" i="2"/>
  <c r="AA14" i="2"/>
  <c r="G15" i="2"/>
  <c r="W15" i="2"/>
  <c r="I16" i="2"/>
  <c r="N16" i="2"/>
  <c r="S16" i="2"/>
  <c r="Y16" i="2"/>
  <c r="E17" i="2"/>
  <c r="U17" i="2"/>
  <c r="E15" i="2"/>
  <c r="I15" i="2"/>
  <c r="M15" i="2"/>
  <c r="AB16" i="2"/>
  <c r="X16" i="2"/>
  <c r="T16" i="2"/>
  <c r="P16" i="2"/>
  <c r="L16" i="2"/>
  <c r="H16" i="2"/>
  <c r="C16" i="2"/>
  <c r="Q15" i="2"/>
  <c r="U15" i="2"/>
  <c r="W17" i="2"/>
  <c r="AA17" i="2"/>
  <c r="Q3" i="2"/>
  <c r="I4" i="2"/>
  <c r="K6" i="2"/>
  <c r="E2" i="2"/>
  <c r="I2" i="2"/>
  <c r="M2" i="2"/>
  <c r="Q2" i="2"/>
  <c r="U2" i="2"/>
  <c r="Y2" i="2"/>
  <c r="E3" i="2"/>
  <c r="U3" i="2"/>
  <c r="F4" i="2"/>
  <c r="J4" i="2"/>
  <c r="N4" i="2"/>
  <c r="R4" i="2"/>
  <c r="V4" i="2"/>
  <c r="Z4" i="2"/>
  <c r="E5" i="2"/>
  <c r="I5" i="2"/>
  <c r="M5" i="2"/>
  <c r="Q5" i="2"/>
  <c r="U5" i="2"/>
  <c r="Y5" i="2"/>
  <c r="C6" i="2"/>
  <c r="H6" i="2"/>
  <c r="L6" i="2"/>
  <c r="P6" i="2"/>
  <c r="T6" i="2"/>
  <c r="X6" i="2"/>
  <c r="AB6" i="2"/>
  <c r="G7" i="2"/>
  <c r="K7" i="2"/>
  <c r="O7" i="2"/>
  <c r="S7" i="2"/>
  <c r="W7" i="2"/>
  <c r="AA7" i="2"/>
  <c r="F8" i="2"/>
  <c r="J8" i="2"/>
  <c r="N8" i="2"/>
  <c r="R8" i="2"/>
  <c r="V8" i="2"/>
  <c r="Z8" i="2"/>
  <c r="E9" i="2"/>
  <c r="I9" i="2"/>
  <c r="M9" i="2"/>
  <c r="Q9" i="2"/>
  <c r="U9" i="2"/>
  <c r="Y9" i="2"/>
  <c r="C10" i="2"/>
  <c r="H10" i="2"/>
  <c r="L10" i="2"/>
  <c r="P10" i="2"/>
  <c r="T10" i="2"/>
  <c r="X10" i="2"/>
  <c r="AB10" i="2"/>
  <c r="G11" i="2"/>
  <c r="K11" i="2"/>
  <c r="O11" i="2"/>
  <c r="S11" i="2"/>
  <c r="W11" i="2"/>
  <c r="AA11" i="2"/>
  <c r="F12" i="2"/>
  <c r="J12" i="2"/>
  <c r="N12" i="2"/>
  <c r="R12" i="2"/>
  <c r="V12" i="2"/>
  <c r="Z12" i="2"/>
  <c r="E13" i="2"/>
  <c r="I13" i="2"/>
  <c r="M13" i="2"/>
  <c r="Q13" i="2"/>
  <c r="U13" i="2"/>
  <c r="Y13" i="2"/>
  <c r="C14" i="2"/>
  <c r="H14" i="2"/>
  <c r="L14" i="2"/>
  <c r="Q14" i="2"/>
  <c r="W14" i="2"/>
  <c r="AB14" i="2"/>
  <c r="S15" i="2"/>
  <c r="E16" i="2"/>
  <c r="J16" i="2"/>
  <c r="O16" i="2"/>
  <c r="U16" i="2"/>
  <c r="Z16" i="2"/>
  <c r="Q17" i="2"/>
  <c r="D2" i="2"/>
  <c r="F3" i="2"/>
  <c r="J3" i="2"/>
  <c r="N3" i="2"/>
  <c r="R3" i="2"/>
  <c r="V3" i="2"/>
  <c r="Z3" i="2"/>
  <c r="D4" i="2"/>
  <c r="D6" i="2"/>
  <c r="D8" i="2"/>
  <c r="D10" i="2"/>
  <c r="D12" i="2"/>
  <c r="D14" i="2"/>
  <c r="D16" i="2"/>
  <c r="C3" i="2"/>
  <c r="G3" i="2"/>
  <c r="K3" i="2"/>
  <c r="O3" i="2"/>
  <c r="S3" i="2"/>
  <c r="W3" i="2"/>
  <c r="AA3" i="2"/>
  <c r="D3" i="2"/>
  <c r="H3" i="2"/>
  <c r="L3" i="2"/>
  <c r="P3" i="2"/>
  <c r="T3" i="2"/>
  <c r="X3" i="2"/>
  <c r="AB3" i="2"/>
  <c r="D5" i="2"/>
  <c r="D7" i="2"/>
  <c r="D9" i="2"/>
  <c r="D11" i="2"/>
  <c r="D13" i="2"/>
  <c r="D15" i="2"/>
  <c r="D17" i="2"/>
</calcChain>
</file>

<file path=xl/sharedStrings.xml><?xml version="1.0" encoding="utf-8"?>
<sst xmlns="http://schemas.openxmlformats.org/spreadsheetml/2006/main" count="124" uniqueCount="28">
  <si>
    <t>X</t>
  </si>
  <si>
    <t>Y</t>
  </si>
  <si>
    <t>U</t>
  </si>
  <si>
    <t>C</t>
  </si>
  <si>
    <t>N</t>
  </si>
  <si>
    <t>J</t>
  </si>
  <si>
    <t>A</t>
  </si>
  <si>
    <t>B</t>
  </si>
  <si>
    <t>D</t>
  </si>
  <si>
    <t>E</t>
  </si>
  <si>
    <t>F</t>
  </si>
  <si>
    <t>G</t>
  </si>
  <si>
    <t>H</t>
  </si>
  <si>
    <t>I</t>
  </si>
  <si>
    <t>K</t>
  </si>
  <si>
    <t>L</t>
  </si>
  <si>
    <t>M</t>
  </si>
  <si>
    <t>O</t>
  </si>
  <si>
    <t>Matriz de distancias</t>
  </si>
  <si>
    <t>Ruta</t>
  </si>
  <si>
    <t>Distancia total</t>
  </si>
  <si>
    <t>Verificador</t>
  </si>
  <si>
    <t>Nodo</t>
  </si>
  <si>
    <t>Posición</t>
  </si>
  <si>
    <t>Coordenadas</t>
  </si>
  <si>
    <t>Arco</t>
  </si>
  <si>
    <t>Costo</t>
  </si>
  <si>
    <t>Matriz de Ahorros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</si>
</sst>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Lucida Console"/>
      <family val="3"/>
    </font>
    <font>
      <b/>
      <sz val="10"/>
      <color rgb="FF000000"/>
      <name val="Lucida Console"/>
      <family val="3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Lucida Console"/>
      <family val="3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Lucida Console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1" xfId="0" applyFont="1" applyBorder="1" applyAlignment="1">
      <alignment horizontal="center"/>
    </xf>
    <xf numFmtId="0" fontId="0" fillId="2" borderId="0" xfId="0" applyFill="1"/>
    <xf numFmtId="0" fontId="0" fillId="0" borderId="1" xfId="0" applyBorder="1"/>
    <xf numFmtId="0" fontId="3" fillId="0" borderId="1" xfId="0" applyFont="1" applyBorder="1" applyAlignment="1">
      <alignment horizontal="center" vertical="center"/>
    </xf>
    <xf numFmtId="0" fontId="0" fillId="3" borderId="1" xfId="0" applyFill="1" applyBorder="1"/>
    <xf numFmtId="0" fontId="1" fillId="5" borderId="1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/>
    <xf numFmtId="0" fontId="3" fillId="0" borderId="1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/>
    </xf>
    <xf numFmtId="0" fontId="4" fillId="4" borderId="2" xfId="0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4" fillId="4" borderId="0" xfId="0" applyFont="1" applyFill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</xf>
    <xf numFmtId="0" fontId="2" fillId="0" borderId="1" xfId="0" applyFont="1" applyBorder="1" applyAlignment="1" applyProtection="1">
      <alignment horizontal="center" vertical="center"/>
    </xf>
    <xf numFmtId="0" fontId="5" fillId="0" borderId="0" xfId="0" applyFont="1" applyProtection="1">
      <protection locked="0"/>
    </xf>
    <xf numFmtId="0" fontId="6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</xf>
    <xf numFmtId="0" fontId="5" fillId="0" borderId="0" xfId="0" applyFont="1" applyProtection="1"/>
    <xf numFmtId="0" fontId="1" fillId="6" borderId="1" xfId="0" applyFont="1" applyFill="1" applyBorder="1" applyAlignment="1" applyProtection="1">
      <alignment horizontal="center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1" fillId="6" borderId="0" xfId="0" applyFont="1" applyFill="1" applyBorder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3" borderId="1" xfId="0" applyFill="1" applyBorder="1" applyAlignment="1" applyProtection="1">
      <alignment horizontal="center"/>
    </xf>
    <xf numFmtId="164" fontId="0" fillId="3" borderId="1" xfId="0" applyNumberFormat="1" applyFill="1" applyBorder="1" applyAlignment="1" applyProtection="1">
      <alignment horizontal="center"/>
    </xf>
    <xf numFmtId="164" fontId="0" fillId="0" borderId="1" xfId="0" applyNumberFormat="1" applyBorder="1" applyAlignment="1" applyProtection="1">
      <alignment horizontal="center"/>
    </xf>
    <xf numFmtId="0" fontId="0" fillId="0" borderId="0" xfId="0" applyAlignment="1">
      <alignment horizontal="center"/>
    </xf>
    <xf numFmtId="0" fontId="7" fillId="0" borderId="1" xfId="0" applyFont="1" applyBorder="1" applyAlignment="1" applyProtection="1">
      <alignment horizontal="center"/>
    </xf>
    <xf numFmtId="164" fontId="5" fillId="3" borderId="1" xfId="0" applyNumberFormat="1" applyFont="1" applyFill="1" applyBorder="1" applyProtection="1"/>
    <xf numFmtId="164" fontId="5" fillId="0" borderId="1" xfId="0" applyNumberFormat="1" applyFont="1" applyBorder="1" applyProtection="1"/>
    <xf numFmtId="0" fontId="8" fillId="0" borderId="1" xfId="0" applyFont="1" applyBorder="1" applyAlignment="1" applyProtection="1">
      <alignment horizontal="center"/>
    </xf>
    <xf numFmtId="164" fontId="9" fillId="0" borderId="1" xfId="0" applyNumberFormat="1" applyFont="1" applyBorder="1" applyProtection="1"/>
    <xf numFmtId="164" fontId="9" fillId="3" borderId="1" xfId="0" applyNumberFormat="1" applyFont="1" applyFill="1" applyBorder="1" applyProtection="1"/>
    <xf numFmtId="0" fontId="10" fillId="0" borderId="1" xfId="0" applyFont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/>
    </xf>
    <xf numFmtId="0" fontId="4" fillId="6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Alignment="1" applyProtection="1">
      <alignment horizontal="center"/>
    </xf>
    <xf numFmtId="0" fontId="4" fillId="4" borderId="1" xfId="0" applyFont="1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strRef>
              <c:f>Instancia!$I$2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bg1">
                    <a:lumMod val="85000"/>
                  </a:schemeClr>
                </a:solidFill>
                <a:prstDash val="sysDash"/>
              </a:ln>
              <a:effectLst/>
            </c:spPr>
          </c:marker>
          <c:xVal>
            <c:numRef>
              <c:f>Instancia!$C$2:$C$10</c:f>
              <c:numCache>
                <c:formatCode>General</c:formatCode>
                <c:ptCount val="9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-6</c:v>
                </c:pt>
                <c:pt idx="4">
                  <c:v>-15</c:v>
                </c:pt>
                <c:pt idx="5">
                  <c:v>-11</c:v>
                </c:pt>
                <c:pt idx="6">
                  <c:v>13</c:v>
                </c:pt>
                <c:pt idx="7">
                  <c:v>0</c:v>
                </c:pt>
              </c:numCache>
            </c:numRef>
          </c:xVal>
          <c:yVal>
            <c:numRef>
              <c:f>Instancia!$D$2:$D$10</c:f>
              <c:numCache>
                <c:formatCode>General</c:formatCode>
                <c:ptCount val="9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13</c:v>
                </c:pt>
                <c:pt idx="4">
                  <c:v>9</c:v>
                </c:pt>
                <c:pt idx="5">
                  <c:v>-7</c:v>
                </c:pt>
                <c:pt idx="6">
                  <c:v>-9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D5-4919-AB6E-88CC6571501D}"/>
            </c:ext>
          </c:extLst>
        </c:ser>
        <c:ser>
          <c:idx val="0"/>
          <c:order val="1"/>
          <c:tx>
            <c:strRef>
              <c:f>Instancia!$AE$1</c:f>
              <c:strCache>
                <c:ptCount val="1"/>
                <c:pt idx="0">
                  <c:v>Coordenadas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52BE03-FB1D-422F-BD33-C2B28377514C}" type="CELLRANGE">
                      <a:rPr lang="en-US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4D5-4919-AB6E-88CC6571501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699AD2-342B-4F6B-B866-A701922F91C0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C77-481E-8FFE-96628465DD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21C4332-2227-463C-955B-E47FBB1B998D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C77-481E-8FFE-96628465DD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B5E35D8-475B-419D-A360-F8A9DDA8906C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C77-481E-8FFE-96628465DD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98F2E16-5A1C-4BD0-8E2E-A21280ED265D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C77-481E-8FFE-96628465DD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D5BF8D-53E6-4F54-9B8C-DE4BA5A258DA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77-481E-8FFE-96628465DD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D166BA-E80B-47C8-A305-FBDF9798ABEA}" type="CELLRANGE">
                      <a:rPr lang="es-CO"/>
                      <a:pPr/>
                      <a:t>[CELLRANGE]</a:t>
                    </a:fld>
                    <a:endParaRPr lang="es-CO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77-481E-8FFE-96628465DD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Instancia!$AF$3:$AF$9</c:f>
              <c:numCache>
                <c:formatCode>General</c:formatCode>
                <c:ptCount val="7"/>
                <c:pt idx="0">
                  <c:v>0</c:v>
                </c:pt>
                <c:pt idx="1">
                  <c:v>-6</c:v>
                </c:pt>
                <c:pt idx="2">
                  <c:v>-11</c:v>
                </c:pt>
                <c:pt idx="3">
                  <c:v>13</c:v>
                </c:pt>
                <c:pt idx="4">
                  <c:v>5</c:v>
                </c:pt>
                <c:pt idx="5">
                  <c:v>-15</c:v>
                </c:pt>
                <c:pt idx="6">
                  <c:v>5</c:v>
                </c:pt>
              </c:numCache>
            </c:numRef>
          </c:xVal>
          <c:yVal>
            <c:numRef>
              <c:f>Instancia!$AG$3:$AG$9</c:f>
              <c:numCache>
                <c:formatCode>General</c:formatCode>
                <c:ptCount val="7"/>
                <c:pt idx="0">
                  <c:v>0</c:v>
                </c:pt>
                <c:pt idx="1">
                  <c:v>13</c:v>
                </c:pt>
                <c:pt idx="2">
                  <c:v>-7</c:v>
                </c:pt>
                <c:pt idx="3">
                  <c:v>-9</c:v>
                </c:pt>
                <c:pt idx="4">
                  <c:v>6</c:v>
                </c:pt>
                <c:pt idx="5">
                  <c:v>9</c:v>
                </c:pt>
                <c:pt idx="6">
                  <c:v>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Instancia!$AE$3:$AE$9</c15:f>
                <c15:dlblRangeCache>
                  <c:ptCount val="7"/>
                  <c:pt idx="0">
                    <c:v>H</c:v>
                  </c:pt>
                  <c:pt idx="1">
                    <c:v>A</c:v>
                  </c:pt>
                  <c:pt idx="2">
                    <c:v>B</c:v>
                  </c:pt>
                  <c:pt idx="3">
                    <c:v>C</c:v>
                  </c:pt>
                  <c:pt idx="4">
                    <c:v>D</c:v>
                  </c:pt>
                  <c:pt idx="5">
                    <c:v>E</c:v>
                  </c:pt>
                  <c:pt idx="6">
                    <c:v>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54D5-4919-AB6E-88CC65715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8034576"/>
        <c:axId val="698035136"/>
      </c:scatterChart>
      <c:valAx>
        <c:axId val="698034576"/>
        <c:scaling>
          <c:orientation val="minMax"/>
          <c:max val="25"/>
          <c:min val="-2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8035136"/>
        <c:crosses val="autoZero"/>
        <c:crossBetween val="midCat"/>
      </c:valAx>
      <c:valAx>
        <c:axId val="698035136"/>
        <c:scaling>
          <c:orientation val="minMax"/>
          <c:max val="25"/>
          <c:min val="-25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8034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163286</xdr:colOff>
      <xdr:row>0</xdr:row>
      <xdr:rowOff>32817</xdr:rowOff>
    </xdr:from>
    <xdr:to>
      <xdr:col>15</xdr:col>
      <xdr:colOff>308961</xdr:colOff>
      <xdr:row>25</xdr:row>
      <xdr:rowOff>98817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AJ30"/>
  <sheetViews>
    <sheetView showGridLines="0" tabSelected="1" zoomScale="145" zoomScaleNormal="145" workbookViewId="0">
      <selection activeCell="X21" sqref="X21"/>
    </sheetView>
  </sheetViews>
  <sheetFormatPr baseColWidth="10" defaultColWidth="5.140625" defaultRowHeight="15" x14ac:dyDescent="0.25"/>
  <cols>
    <col min="1" max="1" width="5.140625" style="7"/>
    <col min="2" max="2" width="5.28515625" style="7" bestFit="1" customWidth="1"/>
    <col min="3" max="4" width="5.5703125" style="7" bestFit="1" customWidth="1"/>
    <col min="5" max="16" width="5.140625" style="7"/>
    <col min="17" max="18" width="2.28515625" style="7" customWidth="1"/>
    <col min="19" max="26" width="7" style="7" customWidth="1"/>
    <col min="27" max="27" width="12.42578125" style="7" bestFit="1" customWidth="1"/>
    <col min="28" max="28" width="7.85546875" style="7" customWidth="1"/>
    <col min="29" max="29" width="8.42578125" style="7" bestFit="1" customWidth="1"/>
    <col min="30" max="30" width="2.28515625" style="7" customWidth="1"/>
    <col min="31" max="35" width="5.140625" style="7"/>
    <col min="36" max="36" width="8.140625" style="7" bestFit="1" customWidth="1"/>
    <col min="37" max="16384" width="5.140625" style="7"/>
  </cols>
  <sheetData>
    <row r="1" spans="2:36" x14ac:dyDescent="0.25">
      <c r="B1" s="16"/>
      <c r="C1" s="16" t="s">
        <v>0</v>
      </c>
      <c r="D1" s="16" t="s">
        <v>1</v>
      </c>
      <c r="E1" s="16"/>
      <c r="F1" s="16"/>
      <c r="G1" s="16"/>
      <c r="H1" s="16"/>
      <c r="I1" s="16"/>
      <c r="J1" s="16"/>
      <c r="K1" s="16"/>
      <c r="L1" s="16"/>
      <c r="M1" s="16"/>
      <c r="S1" s="40" t="s">
        <v>18</v>
      </c>
      <c r="T1" s="40"/>
      <c r="U1" s="40"/>
      <c r="V1" s="40"/>
      <c r="W1" s="40"/>
      <c r="X1" s="40"/>
      <c r="Y1" s="40"/>
      <c r="Z1" s="40"/>
      <c r="AB1" s="40" t="s">
        <v>21</v>
      </c>
      <c r="AC1" s="40"/>
      <c r="AE1" s="40" t="s">
        <v>24</v>
      </c>
      <c r="AF1" s="40"/>
      <c r="AG1" s="40"/>
    </row>
    <row r="2" spans="2:36" x14ac:dyDescent="0.25">
      <c r="B2" s="18" t="str">
        <f>S12</f>
        <v>H</v>
      </c>
      <c r="C2" s="19">
        <v>0</v>
      </c>
      <c r="D2" s="19">
        <v>0</v>
      </c>
      <c r="E2" s="17"/>
      <c r="F2" s="16"/>
      <c r="G2" s="16"/>
      <c r="H2" s="16"/>
      <c r="I2" s="16"/>
      <c r="J2" s="16"/>
      <c r="K2" s="16"/>
      <c r="L2" s="16"/>
      <c r="M2" s="16"/>
      <c r="S2" s="8"/>
      <c r="T2" s="37" t="s">
        <v>12</v>
      </c>
      <c r="U2" s="31" t="s">
        <v>6</v>
      </c>
      <c r="V2" s="31" t="s">
        <v>7</v>
      </c>
      <c r="W2" s="31" t="s">
        <v>3</v>
      </c>
      <c r="X2" s="31" t="s">
        <v>8</v>
      </c>
      <c r="Y2" s="31" t="s">
        <v>9</v>
      </c>
      <c r="Z2" s="34" t="s">
        <v>10</v>
      </c>
      <c r="AB2" s="11" t="s">
        <v>22</v>
      </c>
      <c r="AC2" s="11" t="s">
        <v>23</v>
      </c>
      <c r="AE2" s="13" t="s">
        <v>22</v>
      </c>
      <c r="AF2" s="14" t="s">
        <v>0</v>
      </c>
      <c r="AG2" s="14" t="s">
        <v>1</v>
      </c>
    </row>
    <row r="3" spans="2:36" x14ac:dyDescent="0.25">
      <c r="B3" s="19" t="str">
        <f>T12</f>
        <v>F</v>
      </c>
      <c r="C3" s="19">
        <f t="shared" ref="C3:C9" si="0">VLOOKUP($B3,$AE$3:$AG$9,2,0)</f>
        <v>5</v>
      </c>
      <c r="D3" s="19">
        <f t="shared" ref="D3:D9" si="1">VLOOKUP($B3,$AE$3:$AG$9,3,0)</f>
        <v>3</v>
      </c>
      <c r="E3" s="16"/>
      <c r="F3" s="16"/>
      <c r="G3" s="18"/>
      <c r="H3" s="19"/>
      <c r="I3" s="19"/>
      <c r="J3" s="16"/>
      <c r="K3" s="16"/>
      <c r="L3" s="16"/>
      <c r="M3" s="16"/>
      <c r="S3" s="9" t="s">
        <v>12</v>
      </c>
      <c r="T3" s="36">
        <f t="shared" ref="T3:Z9" si="2">SQRT(POWER(VLOOKUP($S3,$AE$3:$AG$9,2,0)-VLOOKUP(T$2,$AE$3:$AG$9,2,0),2)+POWER(VLOOKUP($S3,$AE$3:$AG$9,3,0)-VLOOKUP(T$2,$AE$3:$AG$9,3,0),2))</f>
        <v>0</v>
      </c>
      <c r="U3" s="33">
        <f t="shared" si="2"/>
        <v>14.317821063276353</v>
      </c>
      <c r="V3" s="33">
        <f t="shared" si="2"/>
        <v>13.038404810405298</v>
      </c>
      <c r="W3" s="33">
        <f t="shared" si="2"/>
        <v>15.811388300841896</v>
      </c>
      <c r="X3" s="33">
        <f t="shared" si="2"/>
        <v>7.810249675906654</v>
      </c>
      <c r="Y3" s="33">
        <f t="shared" si="2"/>
        <v>17.4928556845359</v>
      </c>
      <c r="Z3" s="35">
        <f t="shared" si="2"/>
        <v>5.8309518948453007</v>
      </c>
      <c r="AB3" s="9" t="s">
        <v>12</v>
      </c>
      <c r="AC3" s="12">
        <f t="shared" ref="AC3:AC9" si="3">IFERROR(MATCH(AB3,$S$12:$Z$12,0),"Falta")</f>
        <v>1</v>
      </c>
      <c r="AE3" s="15" t="s">
        <v>12</v>
      </c>
      <c r="AF3" s="12">
        <v>0</v>
      </c>
      <c r="AG3" s="12">
        <v>0</v>
      </c>
    </row>
    <row r="4" spans="2:36" x14ac:dyDescent="0.25">
      <c r="B4" s="19" t="str">
        <f>U12</f>
        <v>D</v>
      </c>
      <c r="C4" s="19">
        <f t="shared" si="0"/>
        <v>5</v>
      </c>
      <c r="D4" s="19">
        <f t="shared" si="1"/>
        <v>6</v>
      </c>
      <c r="E4" s="16"/>
      <c r="F4" s="16"/>
      <c r="G4" s="19"/>
      <c r="H4" s="19"/>
      <c r="I4" s="19"/>
      <c r="J4" s="16"/>
      <c r="K4" s="16"/>
      <c r="L4" s="16"/>
      <c r="M4" s="16"/>
      <c r="S4" s="10" t="s">
        <v>6</v>
      </c>
      <c r="T4" s="35">
        <f t="shared" si="2"/>
        <v>14.317821063276353</v>
      </c>
      <c r="U4" s="32">
        <f t="shared" si="2"/>
        <v>0</v>
      </c>
      <c r="V4" s="33">
        <f t="shared" si="2"/>
        <v>20.615528128088304</v>
      </c>
      <c r="W4" s="33">
        <f t="shared" si="2"/>
        <v>29.068883707497267</v>
      </c>
      <c r="X4" s="33">
        <f t="shared" si="2"/>
        <v>13.038404810405298</v>
      </c>
      <c r="Y4" s="33">
        <f t="shared" si="2"/>
        <v>9.8488578017961039</v>
      </c>
      <c r="Z4" s="35">
        <f t="shared" si="2"/>
        <v>14.866068747318506</v>
      </c>
      <c r="AB4" s="10" t="s">
        <v>6</v>
      </c>
      <c r="AC4" s="12">
        <f t="shared" si="3"/>
        <v>4</v>
      </c>
      <c r="AE4" s="12" t="s">
        <v>6</v>
      </c>
      <c r="AF4" s="12">
        <v>-6</v>
      </c>
      <c r="AG4" s="12">
        <v>13</v>
      </c>
      <c r="AH4" s="24"/>
    </row>
    <row r="5" spans="2:36" x14ac:dyDescent="0.25">
      <c r="B5" s="19" t="str">
        <f>V12</f>
        <v>A</v>
      </c>
      <c r="C5" s="19">
        <f t="shared" si="0"/>
        <v>-6</v>
      </c>
      <c r="D5" s="19">
        <f t="shared" si="1"/>
        <v>13</v>
      </c>
      <c r="E5" s="16"/>
      <c r="F5" s="16"/>
      <c r="G5" s="19"/>
      <c r="H5" s="19"/>
      <c r="I5" s="19"/>
      <c r="J5" s="16"/>
      <c r="K5" s="16"/>
      <c r="L5" s="16"/>
      <c r="M5" s="16"/>
      <c r="S5" s="10" t="s">
        <v>7</v>
      </c>
      <c r="T5" s="35">
        <f t="shared" si="2"/>
        <v>13.038404810405298</v>
      </c>
      <c r="U5" s="33">
        <f t="shared" si="2"/>
        <v>20.615528128088304</v>
      </c>
      <c r="V5" s="32">
        <f t="shared" si="2"/>
        <v>0</v>
      </c>
      <c r="W5" s="33">
        <f t="shared" si="2"/>
        <v>24.083189157584592</v>
      </c>
      <c r="X5" s="33">
        <f t="shared" si="2"/>
        <v>20.615528128088304</v>
      </c>
      <c r="Y5" s="33">
        <f t="shared" si="2"/>
        <v>16.492422502470642</v>
      </c>
      <c r="Z5" s="35">
        <f t="shared" si="2"/>
        <v>18.867962264113206</v>
      </c>
      <c r="AB5" s="10" t="s">
        <v>7</v>
      </c>
      <c r="AC5" s="12">
        <f t="shared" si="3"/>
        <v>6</v>
      </c>
      <c r="AE5" s="12" t="s">
        <v>7</v>
      </c>
      <c r="AF5" s="12">
        <v>-11</v>
      </c>
      <c r="AG5" s="12">
        <v>-7</v>
      </c>
    </row>
    <row r="6" spans="2:36" x14ac:dyDescent="0.25">
      <c r="B6" s="19" t="str">
        <f>W12</f>
        <v>E</v>
      </c>
      <c r="C6" s="19">
        <f t="shared" si="0"/>
        <v>-15</v>
      </c>
      <c r="D6" s="19">
        <f t="shared" si="1"/>
        <v>9</v>
      </c>
      <c r="E6" s="16"/>
      <c r="F6" s="16"/>
      <c r="G6" s="19"/>
      <c r="H6" s="19"/>
      <c r="I6" s="19"/>
      <c r="J6" s="16"/>
      <c r="K6" s="16"/>
      <c r="L6" s="16"/>
      <c r="M6" s="16"/>
      <c r="S6" s="10" t="s">
        <v>3</v>
      </c>
      <c r="T6" s="35">
        <f t="shared" si="2"/>
        <v>15.811388300841896</v>
      </c>
      <c r="U6" s="33">
        <f t="shared" si="2"/>
        <v>29.068883707497267</v>
      </c>
      <c r="V6" s="33">
        <f t="shared" si="2"/>
        <v>24.083189157584592</v>
      </c>
      <c r="W6" s="32">
        <f t="shared" si="2"/>
        <v>0</v>
      </c>
      <c r="X6" s="33">
        <f t="shared" si="2"/>
        <v>17</v>
      </c>
      <c r="Y6" s="33">
        <f t="shared" si="2"/>
        <v>33.286633954186478</v>
      </c>
      <c r="Z6" s="35">
        <f t="shared" si="2"/>
        <v>14.422205101855956</v>
      </c>
      <c r="AB6" s="10" t="s">
        <v>3</v>
      </c>
      <c r="AC6" s="12">
        <f t="shared" si="3"/>
        <v>7</v>
      </c>
      <c r="AE6" s="12" t="s">
        <v>3</v>
      </c>
      <c r="AF6" s="12">
        <v>13</v>
      </c>
      <c r="AG6" s="12">
        <v>-9</v>
      </c>
    </row>
    <row r="7" spans="2:36" x14ac:dyDescent="0.25">
      <c r="B7" s="19" t="str">
        <f>X12</f>
        <v>B</v>
      </c>
      <c r="C7" s="19">
        <f t="shared" si="0"/>
        <v>-11</v>
      </c>
      <c r="D7" s="19">
        <f t="shared" si="1"/>
        <v>-7</v>
      </c>
      <c r="E7" s="16"/>
      <c r="F7" s="16"/>
      <c r="G7" s="19"/>
      <c r="H7" s="19"/>
      <c r="I7" s="19"/>
      <c r="J7" s="16"/>
      <c r="K7" s="16"/>
      <c r="L7" s="16"/>
      <c r="M7" s="16"/>
      <c r="S7" s="10" t="s">
        <v>8</v>
      </c>
      <c r="T7" s="35">
        <f t="shared" si="2"/>
        <v>7.810249675906654</v>
      </c>
      <c r="U7" s="33">
        <f t="shared" si="2"/>
        <v>13.038404810405298</v>
      </c>
      <c r="V7" s="33">
        <f t="shared" si="2"/>
        <v>20.615528128088304</v>
      </c>
      <c r="W7" s="33">
        <f t="shared" si="2"/>
        <v>17</v>
      </c>
      <c r="X7" s="32">
        <f t="shared" si="2"/>
        <v>0</v>
      </c>
      <c r="Y7" s="33">
        <f t="shared" si="2"/>
        <v>20.223748416156685</v>
      </c>
      <c r="Z7" s="35">
        <f t="shared" si="2"/>
        <v>3</v>
      </c>
      <c r="AB7" s="10" t="s">
        <v>8</v>
      </c>
      <c r="AC7" s="12">
        <f t="shared" si="3"/>
        <v>3</v>
      </c>
      <c r="AE7" s="12" t="s">
        <v>8</v>
      </c>
      <c r="AF7" s="12">
        <v>5</v>
      </c>
      <c r="AG7" s="12">
        <v>6</v>
      </c>
    </row>
    <row r="8" spans="2:36" x14ac:dyDescent="0.25">
      <c r="B8" s="19" t="str">
        <f>Y12</f>
        <v>C</v>
      </c>
      <c r="C8" s="19">
        <f t="shared" si="0"/>
        <v>13</v>
      </c>
      <c r="D8" s="19">
        <f t="shared" si="1"/>
        <v>-9</v>
      </c>
      <c r="E8" s="16"/>
      <c r="F8" s="16"/>
      <c r="G8" s="19"/>
      <c r="H8" s="19"/>
      <c r="I8" s="19"/>
      <c r="J8" s="16"/>
      <c r="K8" s="16"/>
      <c r="L8" s="16"/>
      <c r="M8" s="16"/>
      <c r="S8" s="10" t="s">
        <v>9</v>
      </c>
      <c r="T8" s="35">
        <f t="shared" si="2"/>
        <v>17.4928556845359</v>
      </c>
      <c r="U8" s="33">
        <f t="shared" si="2"/>
        <v>9.8488578017961039</v>
      </c>
      <c r="V8" s="33">
        <f t="shared" si="2"/>
        <v>16.492422502470642</v>
      </c>
      <c r="W8" s="33">
        <f t="shared" si="2"/>
        <v>33.286633954186478</v>
      </c>
      <c r="X8" s="33">
        <f t="shared" si="2"/>
        <v>20.223748416156685</v>
      </c>
      <c r="Y8" s="32">
        <f t="shared" si="2"/>
        <v>0</v>
      </c>
      <c r="Z8" s="35">
        <f t="shared" si="2"/>
        <v>20.880613017821101</v>
      </c>
      <c r="AB8" s="10" t="s">
        <v>9</v>
      </c>
      <c r="AC8" s="12">
        <f t="shared" si="3"/>
        <v>5</v>
      </c>
      <c r="AE8" s="12" t="s">
        <v>9</v>
      </c>
      <c r="AF8" s="12">
        <v>-15</v>
      </c>
      <c r="AG8" s="12">
        <v>9</v>
      </c>
      <c r="AJ8" s="24"/>
    </row>
    <row r="9" spans="2:36" x14ac:dyDescent="0.25">
      <c r="B9" s="19" t="str">
        <f>Z12</f>
        <v>H</v>
      </c>
      <c r="C9" s="19">
        <f t="shared" si="0"/>
        <v>0</v>
      </c>
      <c r="D9" s="19">
        <f t="shared" si="1"/>
        <v>0</v>
      </c>
      <c r="E9" s="16"/>
      <c r="F9" s="16"/>
      <c r="G9" s="19"/>
      <c r="H9" s="19"/>
      <c r="I9" s="19"/>
      <c r="J9" s="16"/>
      <c r="K9" s="16"/>
      <c r="L9" s="16"/>
      <c r="M9" s="16"/>
      <c r="S9" s="10" t="s">
        <v>10</v>
      </c>
      <c r="T9" s="35">
        <f t="shared" si="2"/>
        <v>5.8309518948453007</v>
      </c>
      <c r="U9" s="33">
        <f t="shared" si="2"/>
        <v>14.866068747318506</v>
      </c>
      <c r="V9" s="33">
        <f t="shared" si="2"/>
        <v>18.867962264113206</v>
      </c>
      <c r="W9" s="33">
        <f t="shared" si="2"/>
        <v>14.422205101855956</v>
      </c>
      <c r="X9" s="33">
        <f t="shared" si="2"/>
        <v>3</v>
      </c>
      <c r="Y9" s="33">
        <f t="shared" si="2"/>
        <v>20.880613017821101</v>
      </c>
      <c r="Z9" s="36">
        <f t="shared" si="2"/>
        <v>0</v>
      </c>
      <c r="AB9" s="10" t="s">
        <v>10</v>
      </c>
      <c r="AC9" s="12">
        <f t="shared" si="3"/>
        <v>2</v>
      </c>
      <c r="AE9" s="12" t="s">
        <v>10</v>
      </c>
      <c r="AF9" s="12">
        <v>5</v>
      </c>
      <c r="AG9" s="12">
        <v>3</v>
      </c>
    </row>
    <row r="10" spans="2:36" x14ac:dyDescent="0.25">
      <c r="B10" s="18"/>
      <c r="C10" s="19"/>
      <c r="D10" s="19"/>
      <c r="E10" s="16"/>
      <c r="F10" s="16"/>
      <c r="G10" s="18"/>
      <c r="H10" s="19"/>
      <c r="I10" s="19"/>
      <c r="J10" s="16"/>
      <c r="K10" s="16"/>
      <c r="L10" s="16"/>
      <c r="M10" s="16"/>
    </row>
    <row r="11" spans="2:36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S11" s="40" t="s">
        <v>19</v>
      </c>
      <c r="T11" s="40"/>
      <c r="U11" s="40"/>
      <c r="V11" s="40"/>
      <c r="W11" s="40"/>
      <c r="X11" s="40"/>
      <c r="Y11" s="40"/>
      <c r="Z11" s="40"/>
    </row>
    <row r="12" spans="2:36" x14ac:dyDescent="0.25"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S12" s="9" t="s">
        <v>12</v>
      </c>
      <c r="T12" s="6" t="s">
        <v>10</v>
      </c>
      <c r="U12" s="6" t="s">
        <v>8</v>
      </c>
      <c r="V12" s="6" t="s">
        <v>6</v>
      </c>
      <c r="W12" s="6" t="s">
        <v>9</v>
      </c>
      <c r="X12" s="6" t="s">
        <v>7</v>
      </c>
      <c r="Y12" s="6" t="s">
        <v>3</v>
      </c>
      <c r="Z12" s="20" t="s">
        <v>12</v>
      </c>
    </row>
    <row r="13" spans="2:36" x14ac:dyDescent="0.25"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2:36" x14ac:dyDescent="0.25"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S14" s="14" t="s">
        <v>25</v>
      </c>
      <c r="T14" s="10" t="str">
        <f>S12&amp;"-"&amp;T12</f>
        <v>H-F</v>
      </c>
      <c r="U14" s="10" t="str">
        <f t="shared" ref="U14:Y14" si="4">T12&amp;"-"&amp;U12</f>
        <v>F-D</v>
      </c>
      <c r="V14" s="10" t="str">
        <f t="shared" si="4"/>
        <v>D-A</v>
      </c>
      <c r="W14" s="10" t="str">
        <f t="shared" si="4"/>
        <v>A-E</v>
      </c>
      <c r="X14" s="10" t="str">
        <f t="shared" si="4"/>
        <v>E-B</v>
      </c>
      <c r="Y14" s="10" t="str">
        <f t="shared" si="4"/>
        <v>B-C</v>
      </c>
      <c r="Z14" s="10" t="str">
        <f>Y12&amp;"-"&amp;Z12</f>
        <v>C-H</v>
      </c>
      <c r="AA14" s="41" t="s">
        <v>20</v>
      </c>
      <c r="AB14" s="41"/>
    </row>
    <row r="15" spans="2:36" x14ac:dyDescent="0.25"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S15" s="14" t="s">
        <v>26</v>
      </c>
      <c r="T15" s="12">
        <f t="shared" ref="T15:Z15" si="5">IFERROR(INDEX($T$3:$Z$9,MATCH(S12,$S$3:$S$9,0),MATCH(T12,$T$2:$Z$2,0)),"")</f>
        <v>5.8309518948453007</v>
      </c>
      <c r="U15" s="12">
        <f t="shared" si="5"/>
        <v>3</v>
      </c>
      <c r="V15" s="12">
        <f t="shared" si="5"/>
        <v>13.038404810405298</v>
      </c>
      <c r="W15" s="12">
        <f t="shared" si="5"/>
        <v>9.8488578017961039</v>
      </c>
      <c r="X15" s="12">
        <f t="shared" si="5"/>
        <v>16.492422502470642</v>
      </c>
      <c r="Y15" s="12">
        <f t="shared" si="5"/>
        <v>24.083189157584592</v>
      </c>
      <c r="Z15" s="12">
        <f t="shared" si="5"/>
        <v>15.811388300841896</v>
      </c>
      <c r="AA15" s="42">
        <f>SUM(T15:Z15)</f>
        <v>88.105214467943838</v>
      </c>
      <c r="AB15" s="43"/>
    </row>
    <row r="16" spans="2:36" x14ac:dyDescent="0.25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2:28" x14ac:dyDescent="0.25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2:28" x14ac:dyDescent="0.25"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S18" s="21"/>
      <c r="T18" s="21"/>
      <c r="U18" s="21"/>
      <c r="V18" s="22"/>
      <c r="W18" s="21"/>
      <c r="X18" s="21"/>
      <c r="Y18" s="21"/>
      <c r="Z18" s="21"/>
      <c r="AA18" s="21"/>
      <c r="AB18" s="21"/>
    </row>
    <row r="19" spans="2:28" x14ac:dyDescent="0.25"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2:28" x14ac:dyDescent="0.25"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S20" s="21"/>
      <c r="T20" s="23"/>
      <c r="U20" s="23"/>
      <c r="V20" s="23"/>
      <c r="W20" s="23"/>
      <c r="X20" s="23"/>
      <c r="Y20" s="23"/>
      <c r="Z20" s="23"/>
      <c r="AA20" s="38"/>
      <c r="AB20" s="38"/>
    </row>
    <row r="21" spans="2:28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2:28" x14ac:dyDescent="0.25"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2:28" x14ac:dyDescent="0.25">
      <c r="S23" s="21"/>
      <c r="T23" s="39"/>
      <c r="U23" s="39"/>
      <c r="V23" s="39"/>
      <c r="W23" s="39"/>
      <c r="X23" s="39"/>
      <c r="Y23" s="39"/>
      <c r="Z23" s="39"/>
      <c r="AA23" s="39"/>
      <c r="AB23" s="39"/>
    </row>
    <row r="24" spans="2:28" x14ac:dyDescent="0.25">
      <c r="S24" s="21"/>
      <c r="T24" s="23"/>
      <c r="U24" s="23"/>
      <c r="V24" s="23"/>
      <c r="W24" s="23"/>
      <c r="X24" s="23"/>
      <c r="Y24" s="23"/>
      <c r="Z24" s="23"/>
      <c r="AA24" s="38"/>
      <c r="AB24" s="38"/>
    </row>
    <row r="25" spans="2:28" x14ac:dyDescent="0.25"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2:28" x14ac:dyDescent="0.25"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2:28" x14ac:dyDescent="0.25"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2:28" x14ac:dyDescent="0.25"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2:28" x14ac:dyDescent="0.25"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2:28" x14ac:dyDescent="0.25">
      <c r="S30" s="21"/>
      <c r="T30" s="21"/>
      <c r="U30" s="21"/>
      <c r="V30" s="21"/>
      <c r="W30" s="21"/>
      <c r="X30" s="21"/>
      <c r="Y30" s="21"/>
      <c r="Z30" s="21"/>
      <c r="AA30" s="21"/>
      <c r="AB30" s="21"/>
    </row>
  </sheetData>
  <mergeCells count="9">
    <mergeCell ref="AA24:AB24"/>
    <mergeCell ref="AA20:AB20"/>
    <mergeCell ref="T23:AB23"/>
    <mergeCell ref="AE1:AG1"/>
    <mergeCell ref="S1:Z1"/>
    <mergeCell ref="S11:Z11"/>
    <mergeCell ref="AA14:AB14"/>
    <mergeCell ref="AA15:AB15"/>
    <mergeCell ref="AB1:AC1"/>
  </mergeCells>
  <conditionalFormatting sqref="AC3:AC9">
    <cfRule type="cellIs" dxfId="0" priority="1" operator="equal">
      <formula>"Falta"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W12"/>
  <sheetViews>
    <sheetView workbookViewId="0">
      <selection activeCell="X12" sqref="X12"/>
    </sheetView>
  </sheetViews>
  <sheetFormatPr baseColWidth="10" defaultColWidth="11.42578125" defaultRowHeight="15" x14ac:dyDescent="0.25"/>
  <cols>
    <col min="1" max="11" width="5.85546875" style="30" customWidth="1"/>
    <col min="12" max="12" width="15.28515625" style="26" customWidth="1"/>
    <col min="13" max="23" width="5.85546875" style="26" customWidth="1"/>
    <col min="24" max="16384" width="11.42578125" style="25"/>
  </cols>
  <sheetData>
    <row r="1" spans="1:23" x14ac:dyDescent="0.25">
      <c r="A1" s="40" t="s">
        <v>18</v>
      </c>
      <c r="B1" s="40"/>
      <c r="C1" s="40"/>
      <c r="D1" s="40"/>
      <c r="E1" s="40"/>
      <c r="F1" s="40"/>
      <c r="G1" s="40"/>
      <c r="H1" s="40"/>
      <c r="I1" s="40"/>
      <c r="J1" s="40"/>
      <c r="K1" s="40"/>
      <c r="M1" s="40" t="s">
        <v>27</v>
      </c>
      <c r="N1" s="40"/>
      <c r="O1" s="40"/>
      <c r="P1" s="40"/>
      <c r="Q1" s="40"/>
      <c r="R1" s="40"/>
      <c r="S1" s="40"/>
      <c r="T1" s="40"/>
      <c r="U1" s="40"/>
      <c r="V1" s="40"/>
      <c r="W1" s="40"/>
    </row>
    <row r="2" spans="1:23" x14ac:dyDescent="0.25">
      <c r="A2" s="27"/>
      <c r="B2" s="9" t="s">
        <v>2</v>
      </c>
      <c r="C2" s="10" t="s">
        <v>6</v>
      </c>
      <c r="D2" s="10" t="s">
        <v>7</v>
      </c>
      <c r="E2" s="10" t="s">
        <v>3</v>
      </c>
      <c r="F2" s="10" t="s">
        <v>8</v>
      </c>
      <c r="G2" s="10" t="s">
        <v>9</v>
      </c>
      <c r="H2" s="10" t="s">
        <v>10</v>
      </c>
      <c r="I2" s="10" t="s">
        <v>11</v>
      </c>
      <c r="J2" s="10" t="s">
        <v>12</v>
      </c>
      <c r="K2" s="10" t="s">
        <v>13</v>
      </c>
      <c r="M2" s="27"/>
      <c r="N2" s="9" t="s">
        <v>2</v>
      </c>
      <c r="O2" s="10" t="s">
        <v>6</v>
      </c>
      <c r="P2" s="10" t="s">
        <v>7</v>
      </c>
      <c r="Q2" s="10" t="s">
        <v>3</v>
      </c>
      <c r="R2" s="10" t="s">
        <v>8</v>
      </c>
      <c r="S2" s="10" t="s">
        <v>9</v>
      </c>
      <c r="T2" s="10" t="s">
        <v>10</v>
      </c>
      <c r="U2" s="10" t="s">
        <v>11</v>
      </c>
      <c r="V2" s="10" t="s">
        <v>12</v>
      </c>
      <c r="W2" s="10" t="s">
        <v>13</v>
      </c>
    </row>
    <row r="3" spans="1:23" x14ac:dyDescent="0.25">
      <c r="A3" s="9" t="s">
        <v>2</v>
      </c>
      <c r="B3" s="28">
        <f>Instancia!T3</f>
        <v>0</v>
      </c>
      <c r="C3" s="29">
        <f>Instancia!U3</f>
        <v>14.317821063276353</v>
      </c>
      <c r="D3" s="29">
        <f>Instancia!V3</f>
        <v>13.038404810405298</v>
      </c>
      <c r="E3" s="29">
        <f>Instancia!W3</f>
        <v>15.811388300841896</v>
      </c>
      <c r="F3" s="29">
        <f>Instancia!X3</f>
        <v>7.810249675906654</v>
      </c>
      <c r="G3" s="29">
        <f>Instancia!Y3</f>
        <v>17.4928556845359</v>
      </c>
      <c r="H3" s="29" t="e">
        <f>Instancia!#REF!</f>
        <v>#REF!</v>
      </c>
      <c r="I3" s="29" t="e">
        <f>Instancia!#REF!</f>
        <v>#REF!</v>
      </c>
      <c r="J3" s="29" t="e">
        <f>Instancia!#REF!</f>
        <v>#REF!</v>
      </c>
      <c r="K3" s="29">
        <f>Instancia!Z3</f>
        <v>5.8309518948453007</v>
      </c>
      <c r="M3" s="9" t="s">
        <v>2</v>
      </c>
      <c r="N3" s="28">
        <f t="shared" ref="N3:W3" si="0">$B3+B$3-B3</f>
        <v>0</v>
      </c>
      <c r="O3" s="29">
        <f t="shared" si="0"/>
        <v>0</v>
      </c>
      <c r="P3" s="29">
        <f t="shared" si="0"/>
        <v>0</v>
      </c>
      <c r="Q3" s="29">
        <f t="shared" si="0"/>
        <v>0</v>
      </c>
      <c r="R3" s="29">
        <f t="shared" si="0"/>
        <v>0</v>
      </c>
      <c r="S3" s="29">
        <f t="shared" si="0"/>
        <v>0</v>
      </c>
      <c r="T3" s="29" t="e">
        <f t="shared" si="0"/>
        <v>#REF!</v>
      </c>
      <c r="U3" s="29" t="e">
        <f t="shared" si="0"/>
        <v>#REF!</v>
      </c>
      <c r="V3" s="29" t="e">
        <f t="shared" si="0"/>
        <v>#REF!</v>
      </c>
      <c r="W3" s="29">
        <f t="shared" si="0"/>
        <v>0</v>
      </c>
    </row>
    <row r="4" spans="1:23" x14ac:dyDescent="0.25">
      <c r="A4" s="10" t="s">
        <v>6</v>
      </c>
      <c r="B4" s="29">
        <f>Instancia!T4</f>
        <v>14.317821063276353</v>
      </c>
      <c r="C4" s="28">
        <f>Instancia!U4</f>
        <v>0</v>
      </c>
      <c r="D4" s="29">
        <f>Instancia!V4</f>
        <v>20.615528128088304</v>
      </c>
      <c r="E4" s="29">
        <f>Instancia!W4</f>
        <v>29.068883707497267</v>
      </c>
      <c r="F4" s="29">
        <f>Instancia!X4</f>
        <v>13.038404810405298</v>
      </c>
      <c r="G4" s="29">
        <f>Instancia!Y4</f>
        <v>9.8488578017961039</v>
      </c>
      <c r="H4" s="29" t="e">
        <f>Instancia!#REF!</f>
        <v>#REF!</v>
      </c>
      <c r="I4" s="29" t="e">
        <f>Instancia!#REF!</f>
        <v>#REF!</v>
      </c>
      <c r="J4" s="29" t="e">
        <f>Instancia!#REF!</f>
        <v>#REF!</v>
      </c>
      <c r="K4" s="29">
        <f>Instancia!Z4</f>
        <v>14.866068747318506</v>
      </c>
      <c r="M4" s="10" t="s">
        <v>6</v>
      </c>
      <c r="N4" s="29">
        <f t="shared" ref="N4:N12" si="1">$B4+B$3-B4</f>
        <v>0</v>
      </c>
      <c r="O4" s="28">
        <v>0</v>
      </c>
      <c r="P4" s="29">
        <f t="shared" ref="P4:W4" si="2">$B4+D$3-D4</f>
        <v>6.7406977455933479</v>
      </c>
      <c r="Q4" s="29">
        <f t="shared" si="2"/>
        <v>1.0603256566209822</v>
      </c>
      <c r="R4" s="29">
        <f t="shared" si="2"/>
        <v>9.0896659287777108</v>
      </c>
      <c r="S4" s="29">
        <f t="shared" si="2"/>
        <v>21.961818946016148</v>
      </c>
      <c r="T4" s="29" t="e">
        <f t="shared" si="2"/>
        <v>#REF!</v>
      </c>
      <c r="U4" s="29" t="e">
        <f t="shared" si="2"/>
        <v>#REF!</v>
      </c>
      <c r="V4" s="29" t="e">
        <f t="shared" si="2"/>
        <v>#REF!</v>
      </c>
      <c r="W4" s="29">
        <f t="shared" si="2"/>
        <v>5.2827042108031481</v>
      </c>
    </row>
    <row r="5" spans="1:23" x14ac:dyDescent="0.25">
      <c r="A5" s="10" t="s">
        <v>7</v>
      </c>
      <c r="B5" s="29">
        <f>Instancia!T5</f>
        <v>13.038404810405298</v>
      </c>
      <c r="C5" s="29">
        <f>Instancia!U5</f>
        <v>20.615528128088304</v>
      </c>
      <c r="D5" s="28">
        <f>Instancia!V5</f>
        <v>0</v>
      </c>
      <c r="E5" s="29">
        <f>Instancia!W5</f>
        <v>24.083189157584592</v>
      </c>
      <c r="F5" s="29">
        <f>Instancia!X5</f>
        <v>20.615528128088304</v>
      </c>
      <c r="G5" s="29">
        <f>Instancia!Y5</f>
        <v>16.492422502470642</v>
      </c>
      <c r="H5" s="29" t="e">
        <f>Instancia!#REF!</f>
        <v>#REF!</v>
      </c>
      <c r="I5" s="29" t="e">
        <f>Instancia!#REF!</f>
        <v>#REF!</v>
      </c>
      <c r="J5" s="29" t="e">
        <f>Instancia!#REF!</f>
        <v>#REF!</v>
      </c>
      <c r="K5" s="29">
        <f>Instancia!Z5</f>
        <v>18.867962264113206</v>
      </c>
      <c r="M5" s="10" t="s">
        <v>7</v>
      </c>
      <c r="N5" s="29">
        <f t="shared" si="1"/>
        <v>0</v>
      </c>
      <c r="O5" s="29">
        <f t="shared" ref="O5:O12" si="3">$B5+C$3-C5</f>
        <v>6.7406977455933479</v>
      </c>
      <c r="P5" s="28">
        <v>0</v>
      </c>
      <c r="Q5" s="29">
        <f t="shared" ref="Q5:W5" si="4">$B5+E$3-E5</f>
        <v>4.766603953662603</v>
      </c>
      <c r="R5" s="29">
        <f t="shared" si="4"/>
        <v>0.23312635822364669</v>
      </c>
      <c r="S5" s="29">
        <f t="shared" si="4"/>
        <v>14.038837992470558</v>
      </c>
      <c r="T5" s="29" t="e">
        <f t="shared" si="4"/>
        <v>#REF!</v>
      </c>
      <c r="U5" s="29" t="e">
        <f t="shared" si="4"/>
        <v>#REF!</v>
      </c>
      <c r="V5" s="29" t="e">
        <f t="shared" si="4"/>
        <v>#REF!</v>
      </c>
      <c r="W5" s="29">
        <f t="shared" si="4"/>
        <v>1.3944411373927323E-3</v>
      </c>
    </row>
    <row r="6" spans="1:23" x14ac:dyDescent="0.25">
      <c r="A6" s="10" t="s">
        <v>3</v>
      </c>
      <c r="B6" s="29">
        <f>Instancia!T6</f>
        <v>15.811388300841896</v>
      </c>
      <c r="C6" s="29">
        <f>Instancia!U6</f>
        <v>29.068883707497267</v>
      </c>
      <c r="D6" s="29">
        <f>Instancia!V6</f>
        <v>24.083189157584592</v>
      </c>
      <c r="E6" s="28">
        <f>Instancia!W6</f>
        <v>0</v>
      </c>
      <c r="F6" s="29">
        <f>Instancia!X6</f>
        <v>17</v>
      </c>
      <c r="G6" s="29">
        <f>Instancia!Y6</f>
        <v>33.286633954186478</v>
      </c>
      <c r="H6" s="29" t="e">
        <f>Instancia!#REF!</f>
        <v>#REF!</v>
      </c>
      <c r="I6" s="29" t="e">
        <f>Instancia!#REF!</f>
        <v>#REF!</v>
      </c>
      <c r="J6" s="29" t="e">
        <f>Instancia!#REF!</f>
        <v>#REF!</v>
      </c>
      <c r="K6" s="29">
        <f>Instancia!Z6</f>
        <v>14.422205101855956</v>
      </c>
      <c r="M6" s="10" t="s">
        <v>3</v>
      </c>
      <c r="N6" s="29">
        <f t="shared" si="1"/>
        <v>0</v>
      </c>
      <c r="O6" s="29">
        <f t="shared" si="3"/>
        <v>1.0603256566209822</v>
      </c>
      <c r="P6" s="29">
        <f t="shared" ref="P6:P12" si="5">$B6+D$3-D6</f>
        <v>4.766603953662603</v>
      </c>
      <c r="Q6" s="28">
        <v>0</v>
      </c>
      <c r="R6" s="29">
        <f t="shared" ref="R6:W6" si="6">$B6+F$3-F6</f>
        <v>6.621637976748552</v>
      </c>
      <c r="S6" s="29">
        <f t="shared" si="6"/>
        <v>1.7610031191317432E-2</v>
      </c>
      <c r="T6" s="29" t="e">
        <f t="shared" si="6"/>
        <v>#REF!</v>
      </c>
      <c r="U6" s="29" t="e">
        <f t="shared" si="6"/>
        <v>#REF!</v>
      </c>
      <c r="V6" s="29" t="e">
        <f t="shared" si="6"/>
        <v>#REF!</v>
      </c>
      <c r="W6" s="29">
        <f t="shared" si="6"/>
        <v>7.2201350938312405</v>
      </c>
    </row>
    <row r="7" spans="1:23" x14ac:dyDescent="0.25">
      <c r="A7" s="10" t="s">
        <v>8</v>
      </c>
      <c r="B7" s="29">
        <f>Instancia!T7</f>
        <v>7.810249675906654</v>
      </c>
      <c r="C7" s="29">
        <f>Instancia!U7</f>
        <v>13.038404810405298</v>
      </c>
      <c r="D7" s="29">
        <f>Instancia!V7</f>
        <v>20.615528128088304</v>
      </c>
      <c r="E7" s="29">
        <f>Instancia!W7</f>
        <v>17</v>
      </c>
      <c r="F7" s="28">
        <f>Instancia!X7</f>
        <v>0</v>
      </c>
      <c r="G7" s="29">
        <f>Instancia!Y7</f>
        <v>20.223748416156685</v>
      </c>
      <c r="H7" s="29" t="e">
        <f>Instancia!#REF!</f>
        <v>#REF!</v>
      </c>
      <c r="I7" s="29" t="e">
        <f>Instancia!#REF!</f>
        <v>#REF!</v>
      </c>
      <c r="J7" s="29" t="e">
        <f>Instancia!#REF!</f>
        <v>#REF!</v>
      </c>
      <c r="K7" s="29">
        <f>Instancia!Z7</f>
        <v>3</v>
      </c>
      <c r="M7" s="10" t="s">
        <v>8</v>
      </c>
      <c r="N7" s="29">
        <f t="shared" si="1"/>
        <v>0</v>
      </c>
      <c r="O7" s="29">
        <f t="shared" si="3"/>
        <v>9.0896659287777108</v>
      </c>
      <c r="P7" s="29">
        <f t="shared" si="5"/>
        <v>0.23312635822364669</v>
      </c>
      <c r="Q7" s="29">
        <f t="shared" ref="Q7:Q12" si="7">$B7+E$3-E7</f>
        <v>6.621637976748552</v>
      </c>
      <c r="R7" s="28">
        <v>0</v>
      </c>
      <c r="S7" s="29">
        <f>$B7+G$3-G7</f>
        <v>5.0793569442858697</v>
      </c>
      <c r="T7" s="29" t="e">
        <f>$B7+H$3-H7</f>
        <v>#REF!</v>
      </c>
      <c r="U7" s="29" t="e">
        <f>$B7+I$3-I7</f>
        <v>#REF!</v>
      </c>
      <c r="V7" s="29" t="e">
        <f>$B7+J$3-J7</f>
        <v>#REF!</v>
      </c>
      <c r="W7" s="29">
        <f>$B7+K$3-K7</f>
        <v>10.641201570751955</v>
      </c>
    </row>
    <row r="8" spans="1:23" x14ac:dyDescent="0.25">
      <c r="A8" s="10" t="s">
        <v>9</v>
      </c>
      <c r="B8" s="29">
        <f>Instancia!T8</f>
        <v>17.4928556845359</v>
      </c>
      <c r="C8" s="29">
        <f>Instancia!U8</f>
        <v>9.8488578017961039</v>
      </c>
      <c r="D8" s="29">
        <f>Instancia!V8</f>
        <v>16.492422502470642</v>
      </c>
      <c r="E8" s="29">
        <f>Instancia!W8</f>
        <v>33.286633954186478</v>
      </c>
      <c r="F8" s="29">
        <f>Instancia!X8</f>
        <v>20.223748416156685</v>
      </c>
      <c r="G8" s="28">
        <f>Instancia!Y8</f>
        <v>0</v>
      </c>
      <c r="H8" s="29" t="e">
        <f>Instancia!#REF!</f>
        <v>#REF!</v>
      </c>
      <c r="I8" s="29" t="e">
        <f>Instancia!#REF!</f>
        <v>#REF!</v>
      </c>
      <c r="J8" s="29" t="e">
        <f>Instancia!#REF!</f>
        <v>#REF!</v>
      </c>
      <c r="K8" s="29">
        <f>Instancia!Z8</f>
        <v>20.880613017821101</v>
      </c>
      <c r="M8" s="10" t="s">
        <v>9</v>
      </c>
      <c r="N8" s="29">
        <f t="shared" si="1"/>
        <v>0</v>
      </c>
      <c r="O8" s="29">
        <f t="shared" si="3"/>
        <v>21.961818946016148</v>
      </c>
      <c r="P8" s="29">
        <f t="shared" si="5"/>
        <v>14.038837992470558</v>
      </c>
      <c r="Q8" s="29">
        <f t="shared" si="7"/>
        <v>1.7610031191317432E-2</v>
      </c>
      <c r="R8" s="29">
        <f>$B8+F$3-F8</f>
        <v>5.0793569442858697</v>
      </c>
      <c r="S8" s="28">
        <v>0</v>
      </c>
      <c r="T8" s="29" t="e">
        <f>$B8+H$3-H8</f>
        <v>#REF!</v>
      </c>
      <c r="U8" s="29" t="e">
        <f>$B8+I$3-I8</f>
        <v>#REF!</v>
      </c>
      <c r="V8" s="29" t="e">
        <f>$B8+J$3-J8</f>
        <v>#REF!</v>
      </c>
      <c r="W8" s="29">
        <f>$B8+K$3-K8</f>
        <v>2.4431945615601016</v>
      </c>
    </row>
    <row r="9" spans="1:23" x14ac:dyDescent="0.25">
      <c r="A9" s="10" t="s">
        <v>10</v>
      </c>
      <c r="B9" s="29" t="e">
        <f>Instancia!#REF!</f>
        <v>#REF!</v>
      </c>
      <c r="C9" s="29" t="e">
        <f>Instancia!#REF!</f>
        <v>#REF!</v>
      </c>
      <c r="D9" s="29" t="e">
        <f>Instancia!#REF!</f>
        <v>#REF!</v>
      </c>
      <c r="E9" s="29" t="e">
        <f>Instancia!#REF!</f>
        <v>#REF!</v>
      </c>
      <c r="F9" s="29" t="e">
        <f>Instancia!#REF!</f>
        <v>#REF!</v>
      </c>
      <c r="G9" s="29" t="e">
        <f>Instancia!#REF!</f>
        <v>#REF!</v>
      </c>
      <c r="H9" s="28" t="e">
        <f>Instancia!#REF!</f>
        <v>#REF!</v>
      </c>
      <c r="I9" s="29" t="e">
        <f>Instancia!#REF!</f>
        <v>#REF!</v>
      </c>
      <c r="J9" s="29" t="e">
        <f>Instancia!#REF!</f>
        <v>#REF!</v>
      </c>
      <c r="K9" s="29" t="e">
        <f>Instancia!#REF!</f>
        <v>#REF!</v>
      </c>
      <c r="M9" s="10" t="s">
        <v>10</v>
      </c>
      <c r="N9" s="29" t="e">
        <f t="shared" si="1"/>
        <v>#REF!</v>
      </c>
      <c r="O9" s="29" t="e">
        <f t="shared" si="3"/>
        <v>#REF!</v>
      </c>
      <c r="P9" s="29" t="e">
        <f t="shared" si="5"/>
        <v>#REF!</v>
      </c>
      <c r="Q9" s="29" t="e">
        <f t="shared" si="7"/>
        <v>#REF!</v>
      </c>
      <c r="R9" s="29" t="e">
        <f>$B9+F$3-F9</f>
        <v>#REF!</v>
      </c>
      <c r="S9" s="29" t="e">
        <f>$B9+G$3-G9</f>
        <v>#REF!</v>
      </c>
      <c r="T9" s="28">
        <v>0</v>
      </c>
      <c r="U9" s="29" t="e">
        <f>$B9+I$3-I9</f>
        <v>#REF!</v>
      </c>
      <c r="V9" s="29" t="e">
        <f>$B9+J$3-J9</f>
        <v>#REF!</v>
      </c>
      <c r="W9" s="29" t="e">
        <f>$B9+K$3-K9</f>
        <v>#REF!</v>
      </c>
    </row>
    <row r="10" spans="1:23" x14ac:dyDescent="0.25">
      <c r="A10" s="10" t="s">
        <v>11</v>
      </c>
      <c r="B10" s="29" t="e">
        <f>Instancia!#REF!</f>
        <v>#REF!</v>
      </c>
      <c r="C10" s="29" t="e">
        <f>Instancia!#REF!</f>
        <v>#REF!</v>
      </c>
      <c r="D10" s="29" t="e">
        <f>Instancia!#REF!</f>
        <v>#REF!</v>
      </c>
      <c r="E10" s="29" t="e">
        <f>Instancia!#REF!</f>
        <v>#REF!</v>
      </c>
      <c r="F10" s="29" t="e">
        <f>Instancia!#REF!</f>
        <v>#REF!</v>
      </c>
      <c r="G10" s="29" t="e">
        <f>Instancia!#REF!</f>
        <v>#REF!</v>
      </c>
      <c r="H10" s="29" t="e">
        <f>Instancia!#REF!</f>
        <v>#REF!</v>
      </c>
      <c r="I10" s="28" t="e">
        <f>Instancia!#REF!</f>
        <v>#REF!</v>
      </c>
      <c r="J10" s="29" t="e">
        <f>Instancia!#REF!</f>
        <v>#REF!</v>
      </c>
      <c r="K10" s="29" t="e">
        <f>Instancia!#REF!</f>
        <v>#REF!</v>
      </c>
      <c r="M10" s="10" t="s">
        <v>11</v>
      </c>
      <c r="N10" s="29" t="e">
        <f t="shared" si="1"/>
        <v>#REF!</v>
      </c>
      <c r="O10" s="29" t="e">
        <f t="shared" si="3"/>
        <v>#REF!</v>
      </c>
      <c r="P10" s="29" t="e">
        <f t="shared" si="5"/>
        <v>#REF!</v>
      </c>
      <c r="Q10" s="29" t="e">
        <f t="shared" si="7"/>
        <v>#REF!</v>
      </c>
      <c r="R10" s="29" t="e">
        <f>$B10+F$3-F10</f>
        <v>#REF!</v>
      </c>
      <c r="S10" s="29" t="e">
        <f>$B10+G$3-G10</f>
        <v>#REF!</v>
      </c>
      <c r="T10" s="29" t="e">
        <f>$B10+H$3-H10</f>
        <v>#REF!</v>
      </c>
      <c r="U10" s="28">
        <v>0</v>
      </c>
      <c r="V10" s="29" t="e">
        <f>$B10+J$3-J10</f>
        <v>#REF!</v>
      </c>
      <c r="W10" s="29" t="e">
        <f>$B10+K$3-K10</f>
        <v>#REF!</v>
      </c>
    </row>
    <row r="11" spans="1:23" x14ac:dyDescent="0.25">
      <c r="A11" s="10" t="s">
        <v>12</v>
      </c>
      <c r="B11" s="29" t="e">
        <f>Instancia!#REF!</f>
        <v>#REF!</v>
      </c>
      <c r="C11" s="29" t="e">
        <f>Instancia!#REF!</f>
        <v>#REF!</v>
      </c>
      <c r="D11" s="29" t="e">
        <f>Instancia!#REF!</f>
        <v>#REF!</v>
      </c>
      <c r="E11" s="29" t="e">
        <f>Instancia!#REF!</f>
        <v>#REF!</v>
      </c>
      <c r="F11" s="29" t="e">
        <f>Instancia!#REF!</f>
        <v>#REF!</v>
      </c>
      <c r="G11" s="29" t="e">
        <f>Instancia!#REF!</f>
        <v>#REF!</v>
      </c>
      <c r="H11" s="29" t="e">
        <f>Instancia!#REF!</f>
        <v>#REF!</v>
      </c>
      <c r="I11" s="29" t="e">
        <f>Instancia!#REF!</f>
        <v>#REF!</v>
      </c>
      <c r="J11" s="28" t="e">
        <f>Instancia!#REF!</f>
        <v>#REF!</v>
      </c>
      <c r="K11" s="29" t="e">
        <f>Instancia!#REF!</f>
        <v>#REF!</v>
      </c>
      <c r="M11" s="10" t="s">
        <v>12</v>
      </c>
      <c r="N11" s="29" t="e">
        <f t="shared" si="1"/>
        <v>#REF!</v>
      </c>
      <c r="O11" s="29" t="e">
        <f t="shared" si="3"/>
        <v>#REF!</v>
      </c>
      <c r="P11" s="29" t="e">
        <f t="shared" si="5"/>
        <v>#REF!</v>
      </c>
      <c r="Q11" s="29" t="e">
        <f t="shared" si="7"/>
        <v>#REF!</v>
      </c>
      <c r="R11" s="29" t="e">
        <f>$B11+F$3-F11</f>
        <v>#REF!</v>
      </c>
      <c r="S11" s="29" t="e">
        <f>$B11+G$3-G11</f>
        <v>#REF!</v>
      </c>
      <c r="T11" s="29" t="e">
        <f>$B11+H$3-H11</f>
        <v>#REF!</v>
      </c>
      <c r="U11" s="29" t="e">
        <f>$B11+I$3-I11</f>
        <v>#REF!</v>
      </c>
      <c r="V11" s="28">
        <v>0</v>
      </c>
      <c r="W11" s="29" t="e">
        <f>$B11+K$3-K11</f>
        <v>#REF!</v>
      </c>
    </row>
    <row r="12" spans="1:23" x14ac:dyDescent="0.25">
      <c r="A12" s="10" t="s">
        <v>13</v>
      </c>
      <c r="B12" s="29">
        <f>Instancia!T9</f>
        <v>5.8309518948453007</v>
      </c>
      <c r="C12" s="29">
        <f>Instancia!U9</f>
        <v>14.866068747318506</v>
      </c>
      <c r="D12" s="29">
        <f>Instancia!V9</f>
        <v>18.867962264113206</v>
      </c>
      <c r="E12" s="29">
        <f>Instancia!W9</f>
        <v>14.422205101855956</v>
      </c>
      <c r="F12" s="29">
        <f>Instancia!X9</f>
        <v>3</v>
      </c>
      <c r="G12" s="29">
        <f>Instancia!Y9</f>
        <v>20.880613017821101</v>
      </c>
      <c r="H12" s="29" t="e">
        <f>Instancia!#REF!</f>
        <v>#REF!</v>
      </c>
      <c r="I12" s="29" t="e">
        <f>Instancia!#REF!</f>
        <v>#REF!</v>
      </c>
      <c r="J12" s="29" t="e">
        <f>Instancia!#REF!</f>
        <v>#REF!</v>
      </c>
      <c r="K12" s="28">
        <f>Instancia!Z9</f>
        <v>0</v>
      </c>
      <c r="M12" s="10" t="s">
        <v>13</v>
      </c>
      <c r="N12" s="29">
        <f t="shared" si="1"/>
        <v>0</v>
      </c>
      <c r="O12" s="29">
        <f t="shared" si="3"/>
        <v>5.2827042108031481</v>
      </c>
      <c r="P12" s="29">
        <f t="shared" si="5"/>
        <v>1.3944411373927323E-3</v>
      </c>
      <c r="Q12" s="29">
        <f t="shared" si="7"/>
        <v>7.2201350938312405</v>
      </c>
      <c r="R12" s="29">
        <f>$B12+F$3-F12</f>
        <v>10.641201570751955</v>
      </c>
      <c r="S12" s="29">
        <f>$B12+G$3-G12</f>
        <v>2.4431945615601016</v>
      </c>
      <c r="T12" s="29" t="e">
        <f>$B12+H$3-H12</f>
        <v>#REF!</v>
      </c>
      <c r="U12" s="29" t="e">
        <f>$B12+I$3-I12</f>
        <v>#REF!</v>
      </c>
      <c r="V12" s="29" t="e">
        <f>$B12+J$3-J12</f>
        <v>#REF!</v>
      </c>
      <c r="W12" s="28">
        <v>0</v>
      </c>
    </row>
  </sheetData>
  <mergeCells count="2">
    <mergeCell ref="A1:K1"/>
    <mergeCell ref="M1:W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AB36"/>
  <sheetViews>
    <sheetView showGridLines="0" topLeftCell="A12" zoomScale="85" zoomScaleNormal="85" workbookViewId="0">
      <selection activeCell="B20" sqref="B20:R36"/>
    </sheetView>
  </sheetViews>
  <sheetFormatPr baseColWidth="10" defaultColWidth="5.5703125" defaultRowHeight="15" x14ac:dyDescent="0.25"/>
  <cols>
    <col min="3" max="18" width="4.85546875" customWidth="1"/>
    <col min="19" max="19" width="5.5703125" style="2"/>
  </cols>
  <sheetData>
    <row r="1" spans="2:28" x14ac:dyDescent="0.25">
      <c r="C1">
        <v>0</v>
      </c>
      <c r="D1">
        <v>1</v>
      </c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 s="2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</row>
    <row r="2" spans="2:28" x14ac:dyDescent="0.25">
      <c r="B2">
        <v>0</v>
      </c>
      <c r="C2" t="e">
        <f>SQRT((INDEX(#REF!,$B2+1,1)-INDEX(#REF!,C$1+1,1))^2+(INDEX(#REF!,$B2+1,2)-INDEX(#REF!,C$1+1,2))^2)</f>
        <v>#REF!</v>
      </c>
      <c r="D2" t="e">
        <f>SQRT((INDEX(#REF!,$B2+1,1)-INDEX(#REF!,D$1+1,1))^2+(INDEX(#REF!,$B2+1,2)-INDEX(#REF!,D$1+1,2))^2)</f>
        <v>#REF!</v>
      </c>
      <c r="E2" t="e">
        <f>SQRT((INDEX(#REF!,$B2+1,1)-INDEX(#REF!,E$1+1,1))^2+(INDEX(#REF!,$B2+1,2)-INDEX(#REF!,E$1+1,2))^2)</f>
        <v>#REF!</v>
      </c>
      <c r="F2" t="e">
        <f>SQRT((INDEX(#REF!,$B2+1,1)-INDEX(#REF!,F$1+1,1))^2+(INDEX(#REF!,$B2+1,2)-INDEX(#REF!,F$1+1,2))^2)</f>
        <v>#REF!</v>
      </c>
      <c r="G2" t="e">
        <f>SQRT((INDEX(#REF!,$B2+1,1)-INDEX(#REF!,G$1+1,1))^2+(INDEX(#REF!,$B2+1,2)-INDEX(#REF!,G$1+1,2))^2)</f>
        <v>#REF!</v>
      </c>
      <c r="H2" t="e">
        <f>SQRT((INDEX(#REF!,$B2+1,1)-INDEX(#REF!,H$1+1,1))^2+(INDEX(#REF!,$B2+1,2)-INDEX(#REF!,H$1+1,2))^2)</f>
        <v>#REF!</v>
      </c>
      <c r="I2" t="e">
        <f>SQRT((INDEX(#REF!,$B2+1,1)-INDEX(#REF!,I$1+1,1))^2+(INDEX(#REF!,$B2+1,2)-INDEX(#REF!,I$1+1,2))^2)</f>
        <v>#REF!</v>
      </c>
      <c r="J2" t="e">
        <f>SQRT((INDEX(#REF!,$B2+1,1)-INDEX(#REF!,J$1+1,1))^2+(INDEX(#REF!,$B2+1,2)-INDEX(#REF!,J$1+1,2))^2)</f>
        <v>#REF!</v>
      </c>
      <c r="K2" t="e">
        <f>SQRT((INDEX(#REF!,$B2+1,1)-INDEX(#REF!,K$1+1,1))^2+(INDEX(#REF!,$B2+1,2)-INDEX(#REF!,K$1+1,2))^2)</f>
        <v>#REF!</v>
      </c>
      <c r="L2" t="e">
        <f>SQRT((INDEX(#REF!,$B2+1,1)-INDEX(#REF!,L$1+1,1))^2+(INDEX(#REF!,$B2+1,2)-INDEX(#REF!,L$1+1,2))^2)</f>
        <v>#REF!</v>
      </c>
      <c r="M2" t="e">
        <f>SQRT((INDEX(#REF!,$B2+1,1)-INDEX(#REF!,M$1+1,1))^2+(INDEX(#REF!,$B2+1,2)-INDEX(#REF!,M$1+1,2))^2)</f>
        <v>#REF!</v>
      </c>
      <c r="N2" t="e">
        <f>SQRT((INDEX(#REF!,$B2+1,1)-INDEX(#REF!,N$1+1,1))^2+(INDEX(#REF!,$B2+1,2)-INDEX(#REF!,N$1+1,2))^2)</f>
        <v>#REF!</v>
      </c>
      <c r="O2" t="e">
        <f>SQRT((INDEX(#REF!,$B2+1,1)-INDEX(#REF!,O$1+1,1))^2+(INDEX(#REF!,$B2+1,2)-INDEX(#REF!,O$1+1,2))^2)</f>
        <v>#REF!</v>
      </c>
      <c r="P2" t="e">
        <f>SQRT((INDEX(#REF!,$B2+1,1)-INDEX(#REF!,P$1+1,1))^2+(INDEX(#REF!,$B2+1,2)-INDEX(#REF!,P$1+1,2))^2)</f>
        <v>#REF!</v>
      </c>
      <c r="Q2" t="e">
        <f>SQRT((INDEX(#REF!,$B2+1,1)-INDEX(#REF!,Q$1+1,1))^2+(INDEX(#REF!,$B2+1,2)-INDEX(#REF!,Q$1+1,2))^2)</f>
        <v>#REF!</v>
      </c>
      <c r="R2" t="e">
        <f>SQRT((INDEX(#REF!,$B2+1,1)-INDEX(#REF!,R$1+1,1))^2+(INDEX(#REF!,$B2+1,2)-INDEX(#REF!,R$1+1,2))^2)</f>
        <v>#REF!</v>
      </c>
      <c r="S2" s="2" t="e">
        <f>SQRT((INDEX(#REF!,$B2+1,1)-INDEX(#REF!,S$1+1,1))^2+(INDEX(#REF!,$B2+1,2)-INDEX(#REF!,S$1+1,2))^2)</f>
        <v>#REF!</v>
      </c>
      <c r="T2" t="e">
        <f>SQRT((INDEX(#REF!,$B2+1,1)-INDEX(#REF!,T$1+1,1))^2+(INDEX(#REF!,$B2+1,2)-INDEX(#REF!,T$1+1,2))^2)</f>
        <v>#REF!</v>
      </c>
      <c r="U2" t="e">
        <f>SQRT((INDEX(#REF!,$B2+1,1)-INDEX(#REF!,U$1+1,1))^2+(INDEX(#REF!,$B2+1,2)-INDEX(#REF!,U$1+1,2))^2)</f>
        <v>#REF!</v>
      </c>
      <c r="V2" t="e">
        <f>SQRT((INDEX(#REF!,$B2+1,1)-INDEX(#REF!,V$1+1,1))^2+(INDEX(#REF!,$B2+1,2)-INDEX(#REF!,V$1+1,2))^2)</f>
        <v>#REF!</v>
      </c>
      <c r="W2" t="e">
        <f>SQRT((INDEX(#REF!,$B2+1,1)-INDEX(#REF!,W$1+1,1))^2+(INDEX(#REF!,$B2+1,2)-INDEX(#REF!,W$1+1,2))^2)</f>
        <v>#REF!</v>
      </c>
      <c r="X2" t="e">
        <f>SQRT((INDEX(#REF!,$B2+1,1)-INDEX(#REF!,X$1+1,1))^2+(INDEX(#REF!,$B2+1,2)-INDEX(#REF!,X$1+1,2))^2)</f>
        <v>#REF!</v>
      </c>
      <c r="Y2" t="e">
        <f>SQRT((INDEX(#REF!,$B2+1,1)-INDEX(#REF!,Y$1+1,1))^2+(INDEX(#REF!,$B2+1,2)-INDEX(#REF!,Y$1+1,2))^2)</f>
        <v>#REF!</v>
      </c>
      <c r="Z2" t="e">
        <f>SQRT((INDEX(#REF!,$B2+1,1)-INDEX(#REF!,Z$1+1,1))^2+(INDEX(#REF!,$B2+1,2)-INDEX(#REF!,Z$1+1,2))^2)</f>
        <v>#REF!</v>
      </c>
      <c r="AA2" t="e">
        <f>SQRT((INDEX(#REF!,$B2+1,1)-INDEX(#REF!,AA$1+1,1))^2+(INDEX(#REF!,$B2+1,2)-INDEX(#REF!,AA$1+1,2))^2)</f>
        <v>#REF!</v>
      </c>
      <c r="AB2" t="e">
        <f>SQRT((INDEX(#REF!,$B2+1,1)-INDEX(#REF!,AB$1+1,1))^2+(INDEX(#REF!,$B2+1,2)-INDEX(#REF!,AB$1+1,2))^2)</f>
        <v>#REF!</v>
      </c>
    </row>
    <row r="3" spans="2:28" x14ac:dyDescent="0.25">
      <c r="B3">
        <v>1</v>
      </c>
      <c r="C3" t="e">
        <f>SQRT((INDEX(#REF!,$B3+1,1)-INDEX(#REF!,C$1+1,1))^2+(INDEX(#REF!,$B3+1,2)-INDEX(#REF!,C$1+1,2))^2)</f>
        <v>#REF!</v>
      </c>
      <c r="D3" t="e">
        <f>SQRT((INDEX(#REF!,$B3+1,1)-INDEX(#REF!,D$1+1,1))^2+(INDEX(#REF!,$B3+1,2)-INDEX(#REF!,D$1+1,2))^2)</f>
        <v>#REF!</v>
      </c>
      <c r="E3" t="e">
        <f>SQRT((INDEX(#REF!,$B3+1,1)-INDEX(#REF!,E$1+1,1))^2+(INDEX(#REF!,$B3+1,2)-INDEX(#REF!,E$1+1,2))^2)</f>
        <v>#REF!</v>
      </c>
      <c r="F3" t="e">
        <f>SQRT((INDEX(#REF!,$B3+1,1)-INDEX(#REF!,F$1+1,1))^2+(INDEX(#REF!,$B3+1,2)-INDEX(#REF!,F$1+1,2))^2)</f>
        <v>#REF!</v>
      </c>
      <c r="G3" t="e">
        <f>SQRT((INDEX(#REF!,$B3+1,1)-INDEX(#REF!,G$1+1,1))^2+(INDEX(#REF!,$B3+1,2)-INDEX(#REF!,G$1+1,2))^2)</f>
        <v>#REF!</v>
      </c>
      <c r="H3" t="e">
        <f>SQRT((INDEX(#REF!,$B3+1,1)-INDEX(#REF!,H$1+1,1))^2+(INDEX(#REF!,$B3+1,2)-INDEX(#REF!,H$1+1,2))^2)</f>
        <v>#REF!</v>
      </c>
      <c r="I3" t="e">
        <f>SQRT((INDEX(#REF!,$B3+1,1)-INDEX(#REF!,I$1+1,1))^2+(INDEX(#REF!,$B3+1,2)-INDEX(#REF!,I$1+1,2))^2)</f>
        <v>#REF!</v>
      </c>
      <c r="J3" t="e">
        <f>SQRT((INDEX(#REF!,$B3+1,1)-INDEX(#REF!,J$1+1,1))^2+(INDEX(#REF!,$B3+1,2)-INDEX(#REF!,J$1+1,2))^2)</f>
        <v>#REF!</v>
      </c>
      <c r="K3" t="e">
        <f>SQRT((INDEX(#REF!,$B3+1,1)-INDEX(#REF!,K$1+1,1))^2+(INDEX(#REF!,$B3+1,2)-INDEX(#REF!,K$1+1,2))^2)</f>
        <v>#REF!</v>
      </c>
      <c r="L3" t="e">
        <f>SQRT((INDEX(#REF!,$B3+1,1)-INDEX(#REF!,L$1+1,1))^2+(INDEX(#REF!,$B3+1,2)-INDEX(#REF!,L$1+1,2))^2)</f>
        <v>#REF!</v>
      </c>
      <c r="M3" t="e">
        <f>SQRT((INDEX(#REF!,$B3+1,1)-INDEX(#REF!,M$1+1,1))^2+(INDEX(#REF!,$B3+1,2)-INDEX(#REF!,M$1+1,2))^2)</f>
        <v>#REF!</v>
      </c>
      <c r="N3" t="e">
        <f>SQRT((INDEX(#REF!,$B3+1,1)-INDEX(#REF!,N$1+1,1))^2+(INDEX(#REF!,$B3+1,2)-INDEX(#REF!,N$1+1,2))^2)</f>
        <v>#REF!</v>
      </c>
      <c r="O3" t="e">
        <f>SQRT((INDEX(#REF!,$B3+1,1)-INDEX(#REF!,O$1+1,1))^2+(INDEX(#REF!,$B3+1,2)-INDEX(#REF!,O$1+1,2))^2)</f>
        <v>#REF!</v>
      </c>
      <c r="P3" t="e">
        <f>SQRT((INDEX(#REF!,$B3+1,1)-INDEX(#REF!,P$1+1,1))^2+(INDEX(#REF!,$B3+1,2)-INDEX(#REF!,P$1+1,2))^2)</f>
        <v>#REF!</v>
      </c>
      <c r="Q3" t="e">
        <f>SQRT((INDEX(#REF!,$B3+1,1)-INDEX(#REF!,Q$1+1,1))^2+(INDEX(#REF!,$B3+1,2)-INDEX(#REF!,Q$1+1,2))^2)</f>
        <v>#REF!</v>
      </c>
      <c r="R3" t="e">
        <f>SQRT((INDEX(#REF!,$B3+1,1)-INDEX(#REF!,R$1+1,1))^2+(INDEX(#REF!,$B3+1,2)-INDEX(#REF!,R$1+1,2))^2)</f>
        <v>#REF!</v>
      </c>
      <c r="S3" s="2" t="e">
        <f>SQRT((INDEX(#REF!,$B3+1,1)-INDEX(#REF!,S$1+1,1))^2+(INDEX(#REF!,$B3+1,2)-INDEX(#REF!,S$1+1,2))^2)</f>
        <v>#REF!</v>
      </c>
      <c r="T3" t="e">
        <f>SQRT((INDEX(#REF!,$B3+1,1)-INDEX(#REF!,T$1+1,1))^2+(INDEX(#REF!,$B3+1,2)-INDEX(#REF!,T$1+1,2))^2)</f>
        <v>#REF!</v>
      </c>
      <c r="U3" t="e">
        <f>SQRT((INDEX(#REF!,$B3+1,1)-INDEX(#REF!,U$1+1,1))^2+(INDEX(#REF!,$B3+1,2)-INDEX(#REF!,U$1+1,2))^2)</f>
        <v>#REF!</v>
      </c>
      <c r="V3" t="e">
        <f>SQRT((INDEX(#REF!,$B3+1,1)-INDEX(#REF!,V$1+1,1))^2+(INDEX(#REF!,$B3+1,2)-INDEX(#REF!,V$1+1,2))^2)</f>
        <v>#REF!</v>
      </c>
      <c r="W3" t="e">
        <f>SQRT((INDEX(#REF!,$B3+1,1)-INDEX(#REF!,W$1+1,1))^2+(INDEX(#REF!,$B3+1,2)-INDEX(#REF!,W$1+1,2))^2)</f>
        <v>#REF!</v>
      </c>
      <c r="X3" t="e">
        <f>SQRT((INDEX(#REF!,$B3+1,1)-INDEX(#REF!,X$1+1,1))^2+(INDEX(#REF!,$B3+1,2)-INDEX(#REF!,X$1+1,2))^2)</f>
        <v>#REF!</v>
      </c>
      <c r="Y3" t="e">
        <f>SQRT((INDEX(#REF!,$B3+1,1)-INDEX(#REF!,Y$1+1,1))^2+(INDEX(#REF!,$B3+1,2)-INDEX(#REF!,Y$1+1,2))^2)</f>
        <v>#REF!</v>
      </c>
      <c r="Z3" t="e">
        <f>SQRT((INDEX(#REF!,$B3+1,1)-INDEX(#REF!,Z$1+1,1))^2+(INDEX(#REF!,$B3+1,2)-INDEX(#REF!,Z$1+1,2))^2)</f>
        <v>#REF!</v>
      </c>
      <c r="AA3" t="e">
        <f>SQRT((INDEX(#REF!,$B3+1,1)-INDEX(#REF!,AA$1+1,1))^2+(INDEX(#REF!,$B3+1,2)-INDEX(#REF!,AA$1+1,2))^2)</f>
        <v>#REF!</v>
      </c>
      <c r="AB3" t="e">
        <f>SQRT((INDEX(#REF!,$B3+1,1)-INDEX(#REF!,AB$1+1,1))^2+(INDEX(#REF!,$B3+1,2)-INDEX(#REF!,AB$1+1,2))^2)</f>
        <v>#REF!</v>
      </c>
    </row>
    <row r="4" spans="2:28" x14ac:dyDescent="0.25">
      <c r="B4">
        <v>2</v>
      </c>
      <c r="C4" t="e">
        <f>SQRT((INDEX(#REF!,$B4+1,1)-INDEX(#REF!,C$1+1,1))^2+(INDEX(#REF!,$B4+1,2)-INDEX(#REF!,C$1+1,2))^2)</f>
        <v>#REF!</v>
      </c>
      <c r="D4" t="e">
        <f>SQRT((INDEX(#REF!,$B4+1,1)-INDEX(#REF!,D$1+1,1))^2+(INDEX(#REF!,$B4+1,2)-INDEX(#REF!,D$1+1,2))^2)</f>
        <v>#REF!</v>
      </c>
      <c r="E4" t="e">
        <f>SQRT((INDEX(#REF!,$B4+1,1)-INDEX(#REF!,E$1+1,1))^2+(INDEX(#REF!,$B4+1,2)-INDEX(#REF!,E$1+1,2))^2)</f>
        <v>#REF!</v>
      </c>
      <c r="F4" t="e">
        <f>SQRT((INDEX(#REF!,$B4+1,1)-INDEX(#REF!,F$1+1,1))^2+(INDEX(#REF!,$B4+1,2)-INDEX(#REF!,F$1+1,2))^2)</f>
        <v>#REF!</v>
      </c>
      <c r="G4" t="e">
        <f>SQRT((INDEX(#REF!,$B4+1,1)-INDEX(#REF!,G$1+1,1))^2+(INDEX(#REF!,$B4+1,2)-INDEX(#REF!,G$1+1,2))^2)</f>
        <v>#REF!</v>
      </c>
      <c r="H4" t="e">
        <f>SQRT((INDEX(#REF!,$B4+1,1)-INDEX(#REF!,H$1+1,1))^2+(INDEX(#REF!,$B4+1,2)-INDEX(#REF!,H$1+1,2))^2)</f>
        <v>#REF!</v>
      </c>
      <c r="I4" t="e">
        <f>SQRT((INDEX(#REF!,$B4+1,1)-INDEX(#REF!,I$1+1,1))^2+(INDEX(#REF!,$B4+1,2)-INDEX(#REF!,I$1+1,2))^2)</f>
        <v>#REF!</v>
      </c>
      <c r="J4" t="e">
        <f>SQRT((INDEX(#REF!,$B4+1,1)-INDEX(#REF!,J$1+1,1))^2+(INDEX(#REF!,$B4+1,2)-INDEX(#REF!,J$1+1,2))^2)</f>
        <v>#REF!</v>
      </c>
      <c r="K4" t="e">
        <f>SQRT((INDEX(#REF!,$B4+1,1)-INDEX(#REF!,K$1+1,1))^2+(INDEX(#REF!,$B4+1,2)-INDEX(#REF!,K$1+1,2))^2)</f>
        <v>#REF!</v>
      </c>
      <c r="L4" t="e">
        <f>SQRT((INDEX(#REF!,$B4+1,1)-INDEX(#REF!,L$1+1,1))^2+(INDEX(#REF!,$B4+1,2)-INDEX(#REF!,L$1+1,2))^2)</f>
        <v>#REF!</v>
      </c>
      <c r="M4" t="e">
        <f>SQRT((INDEX(#REF!,$B4+1,1)-INDEX(#REF!,M$1+1,1))^2+(INDEX(#REF!,$B4+1,2)-INDEX(#REF!,M$1+1,2))^2)</f>
        <v>#REF!</v>
      </c>
      <c r="N4" t="e">
        <f>SQRT((INDEX(#REF!,$B4+1,1)-INDEX(#REF!,N$1+1,1))^2+(INDEX(#REF!,$B4+1,2)-INDEX(#REF!,N$1+1,2))^2)</f>
        <v>#REF!</v>
      </c>
      <c r="O4" t="e">
        <f>SQRT((INDEX(#REF!,$B4+1,1)-INDEX(#REF!,O$1+1,1))^2+(INDEX(#REF!,$B4+1,2)-INDEX(#REF!,O$1+1,2))^2)</f>
        <v>#REF!</v>
      </c>
      <c r="P4" t="e">
        <f>SQRT((INDEX(#REF!,$B4+1,1)-INDEX(#REF!,P$1+1,1))^2+(INDEX(#REF!,$B4+1,2)-INDEX(#REF!,P$1+1,2))^2)</f>
        <v>#REF!</v>
      </c>
      <c r="Q4" t="e">
        <f>SQRT((INDEX(#REF!,$B4+1,1)-INDEX(#REF!,Q$1+1,1))^2+(INDEX(#REF!,$B4+1,2)-INDEX(#REF!,Q$1+1,2))^2)</f>
        <v>#REF!</v>
      </c>
      <c r="R4" t="e">
        <f>SQRT((INDEX(#REF!,$B4+1,1)-INDEX(#REF!,R$1+1,1))^2+(INDEX(#REF!,$B4+1,2)-INDEX(#REF!,R$1+1,2))^2)</f>
        <v>#REF!</v>
      </c>
      <c r="S4" s="2" t="e">
        <f>SQRT((INDEX(#REF!,$B4+1,1)-INDEX(#REF!,S$1+1,1))^2+(INDEX(#REF!,$B4+1,2)-INDEX(#REF!,S$1+1,2))^2)</f>
        <v>#REF!</v>
      </c>
      <c r="T4" t="e">
        <f>SQRT((INDEX(#REF!,$B4+1,1)-INDEX(#REF!,T$1+1,1))^2+(INDEX(#REF!,$B4+1,2)-INDEX(#REF!,T$1+1,2))^2)</f>
        <v>#REF!</v>
      </c>
      <c r="U4" t="e">
        <f>SQRT((INDEX(#REF!,$B4+1,1)-INDEX(#REF!,U$1+1,1))^2+(INDEX(#REF!,$B4+1,2)-INDEX(#REF!,U$1+1,2))^2)</f>
        <v>#REF!</v>
      </c>
      <c r="V4" t="e">
        <f>SQRT((INDEX(#REF!,$B4+1,1)-INDEX(#REF!,V$1+1,1))^2+(INDEX(#REF!,$B4+1,2)-INDEX(#REF!,V$1+1,2))^2)</f>
        <v>#REF!</v>
      </c>
      <c r="W4" t="e">
        <f>SQRT((INDEX(#REF!,$B4+1,1)-INDEX(#REF!,W$1+1,1))^2+(INDEX(#REF!,$B4+1,2)-INDEX(#REF!,W$1+1,2))^2)</f>
        <v>#REF!</v>
      </c>
      <c r="X4" t="e">
        <f>SQRT((INDEX(#REF!,$B4+1,1)-INDEX(#REF!,X$1+1,1))^2+(INDEX(#REF!,$B4+1,2)-INDEX(#REF!,X$1+1,2))^2)</f>
        <v>#REF!</v>
      </c>
      <c r="Y4" t="e">
        <f>SQRT((INDEX(#REF!,$B4+1,1)-INDEX(#REF!,Y$1+1,1))^2+(INDEX(#REF!,$B4+1,2)-INDEX(#REF!,Y$1+1,2))^2)</f>
        <v>#REF!</v>
      </c>
      <c r="Z4" t="e">
        <f>SQRT((INDEX(#REF!,$B4+1,1)-INDEX(#REF!,Z$1+1,1))^2+(INDEX(#REF!,$B4+1,2)-INDEX(#REF!,Z$1+1,2))^2)</f>
        <v>#REF!</v>
      </c>
      <c r="AA4" t="e">
        <f>SQRT((INDEX(#REF!,$B4+1,1)-INDEX(#REF!,AA$1+1,1))^2+(INDEX(#REF!,$B4+1,2)-INDEX(#REF!,AA$1+1,2))^2)</f>
        <v>#REF!</v>
      </c>
      <c r="AB4" t="e">
        <f>SQRT((INDEX(#REF!,$B4+1,1)-INDEX(#REF!,AB$1+1,1))^2+(INDEX(#REF!,$B4+1,2)-INDEX(#REF!,AB$1+1,2))^2)</f>
        <v>#REF!</v>
      </c>
    </row>
    <row r="5" spans="2:28" x14ac:dyDescent="0.25">
      <c r="B5">
        <v>3</v>
      </c>
      <c r="C5" t="e">
        <f>SQRT((INDEX(#REF!,$B5+1,1)-INDEX(#REF!,C$1+1,1))^2+(INDEX(#REF!,$B5+1,2)-INDEX(#REF!,C$1+1,2))^2)</f>
        <v>#REF!</v>
      </c>
      <c r="D5" t="e">
        <f>SQRT((INDEX(#REF!,$B5+1,1)-INDEX(#REF!,D$1+1,1))^2+(INDEX(#REF!,$B5+1,2)-INDEX(#REF!,D$1+1,2))^2)</f>
        <v>#REF!</v>
      </c>
      <c r="E5" t="e">
        <f>SQRT((INDEX(#REF!,$B5+1,1)-INDEX(#REF!,E$1+1,1))^2+(INDEX(#REF!,$B5+1,2)-INDEX(#REF!,E$1+1,2))^2)</f>
        <v>#REF!</v>
      </c>
      <c r="F5" t="e">
        <f>SQRT((INDEX(#REF!,$B5+1,1)-INDEX(#REF!,F$1+1,1))^2+(INDEX(#REF!,$B5+1,2)-INDEX(#REF!,F$1+1,2))^2)</f>
        <v>#REF!</v>
      </c>
      <c r="G5" t="e">
        <f>SQRT((INDEX(#REF!,$B5+1,1)-INDEX(#REF!,G$1+1,1))^2+(INDEX(#REF!,$B5+1,2)-INDEX(#REF!,G$1+1,2))^2)</f>
        <v>#REF!</v>
      </c>
      <c r="H5" t="e">
        <f>SQRT((INDEX(#REF!,$B5+1,1)-INDEX(#REF!,H$1+1,1))^2+(INDEX(#REF!,$B5+1,2)-INDEX(#REF!,H$1+1,2))^2)</f>
        <v>#REF!</v>
      </c>
      <c r="I5" t="e">
        <f>SQRT((INDEX(#REF!,$B5+1,1)-INDEX(#REF!,I$1+1,1))^2+(INDEX(#REF!,$B5+1,2)-INDEX(#REF!,I$1+1,2))^2)</f>
        <v>#REF!</v>
      </c>
      <c r="J5" t="e">
        <f>SQRT((INDEX(#REF!,$B5+1,1)-INDEX(#REF!,J$1+1,1))^2+(INDEX(#REF!,$B5+1,2)-INDEX(#REF!,J$1+1,2))^2)</f>
        <v>#REF!</v>
      </c>
      <c r="K5" t="e">
        <f>SQRT((INDEX(#REF!,$B5+1,1)-INDEX(#REF!,K$1+1,1))^2+(INDEX(#REF!,$B5+1,2)-INDEX(#REF!,K$1+1,2))^2)</f>
        <v>#REF!</v>
      </c>
      <c r="L5" t="e">
        <f>SQRT((INDEX(#REF!,$B5+1,1)-INDEX(#REF!,L$1+1,1))^2+(INDEX(#REF!,$B5+1,2)-INDEX(#REF!,L$1+1,2))^2)</f>
        <v>#REF!</v>
      </c>
      <c r="M5" t="e">
        <f>SQRT((INDEX(#REF!,$B5+1,1)-INDEX(#REF!,M$1+1,1))^2+(INDEX(#REF!,$B5+1,2)-INDEX(#REF!,M$1+1,2))^2)</f>
        <v>#REF!</v>
      </c>
      <c r="N5" t="e">
        <f>SQRT((INDEX(#REF!,$B5+1,1)-INDEX(#REF!,N$1+1,1))^2+(INDEX(#REF!,$B5+1,2)-INDEX(#REF!,N$1+1,2))^2)</f>
        <v>#REF!</v>
      </c>
      <c r="O5" t="e">
        <f>SQRT((INDEX(#REF!,$B5+1,1)-INDEX(#REF!,O$1+1,1))^2+(INDEX(#REF!,$B5+1,2)-INDEX(#REF!,O$1+1,2))^2)</f>
        <v>#REF!</v>
      </c>
      <c r="P5" t="e">
        <f>SQRT((INDEX(#REF!,$B5+1,1)-INDEX(#REF!,P$1+1,1))^2+(INDEX(#REF!,$B5+1,2)-INDEX(#REF!,P$1+1,2))^2)</f>
        <v>#REF!</v>
      </c>
      <c r="Q5" t="e">
        <f>SQRT((INDEX(#REF!,$B5+1,1)-INDEX(#REF!,Q$1+1,1))^2+(INDEX(#REF!,$B5+1,2)-INDEX(#REF!,Q$1+1,2))^2)</f>
        <v>#REF!</v>
      </c>
      <c r="R5" t="e">
        <f>SQRT((INDEX(#REF!,$B5+1,1)-INDEX(#REF!,R$1+1,1))^2+(INDEX(#REF!,$B5+1,2)-INDEX(#REF!,R$1+1,2))^2)</f>
        <v>#REF!</v>
      </c>
      <c r="S5" s="2" t="e">
        <f>SQRT((INDEX(#REF!,$B5+1,1)-INDEX(#REF!,S$1+1,1))^2+(INDEX(#REF!,$B5+1,2)-INDEX(#REF!,S$1+1,2))^2)</f>
        <v>#REF!</v>
      </c>
      <c r="T5" t="e">
        <f>SQRT((INDEX(#REF!,$B5+1,1)-INDEX(#REF!,T$1+1,1))^2+(INDEX(#REF!,$B5+1,2)-INDEX(#REF!,T$1+1,2))^2)</f>
        <v>#REF!</v>
      </c>
      <c r="U5" t="e">
        <f>SQRT((INDEX(#REF!,$B5+1,1)-INDEX(#REF!,U$1+1,1))^2+(INDEX(#REF!,$B5+1,2)-INDEX(#REF!,U$1+1,2))^2)</f>
        <v>#REF!</v>
      </c>
      <c r="V5" t="e">
        <f>SQRT((INDEX(#REF!,$B5+1,1)-INDEX(#REF!,V$1+1,1))^2+(INDEX(#REF!,$B5+1,2)-INDEX(#REF!,V$1+1,2))^2)</f>
        <v>#REF!</v>
      </c>
      <c r="W5" t="e">
        <f>SQRT((INDEX(#REF!,$B5+1,1)-INDEX(#REF!,W$1+1,1))^2+(INDEX(#REF!,$B5+1,2)-INDEX(#REF!,W$1+1,2))^2)</f>
        <v>#REF!</v>
      </c>
      <c r="X5" t="e">
        <f>SQRT((INDEX(#REF!,$B5+1,1)-INDEX(#REF!,X$1+1,1))^2+(INDEX(#REF!,$B5+1,2)-INDEX(#REF!,X$1+1,2))^2)</f>
        <v>#REF!</v>
      </c>
      <c r="Y5" t="e">
        <f>SQRT((INDEX(#REF!,$B5+1,1)-INDEX(#REF!,Y$1+1,1))^2+(INDEX(#REF!,$B5+1,2)-INDEX(#REF!,Y$1+1,2))^2)</f>
        <v>#REF!</v>
      </c>
      <c r="Z5" t="e">
        <f>SQRT((INDEX(#REF!,$B5+1,1)-INDEX(#REF!,Z$1+1,1))^2+(INDEX(#REF!,$B5+1,2)-INDEX(#REF!,Z$1+1,2))^2)</f>
        <v>#REF!</v>
      </c>
      <c r="AA5" t="e">
        <f>SQRT((INDEX(#REF!,$B5+1,1)-INDEX(#REF!,AA$1+1,1))^2+(INDEX(#REF!,$B5+1,2)-INDEX(#REF!,AA$1+1,2))^2)</f>
        <v>#REF!</v>
      </c>
      <c r="AB5" t="e">
        <f>SQRT((INDEX(#REF!,$B5+1,1)-INDEX(#REF!,AB$1+1,1))^2+(INDEX(#REF!,$B5+1,2)-INDEX(#REF!,AB$1+1,2))^2)</f>
        <v>#REF!</v>
      </c>
    </row>
    <row r="6" spans="2:28" x14ac:dyDescent="0.25">
      <c r="B6">
        <v>4</v>
      </c>
      <c r="C6" t="e">
        <f>SQRT((INDEX(#REF!,$B6+1,1)-INDEX(#REF!,C$1+1,1))^2+(INDEX(#REF!,$B6+1,2)-INDEX(#REF!,C$1+1,2))^2)</f>
        <v>#REF!</v>
      </c>
      <c r="D6" t="e">
        <f>SQRT((INDEX(#REF!,$B6+1,1)-INDEX(#REF!,D$1+1,1))^2+(INDEX(#REF!,$B6+1,2)-INDEX(#REF!,D$1+1,2))^2)</f>
        <v>#REF!</v>
      </c>
      <c r="E6" t="e">
        <f>SQRT((INDEX(#REF!,$B6+1,1)-INDEX(#REF!,E$1+1,1))^2+(INDEX(#REF!,$B6+1,2)-INDEX(#REF!,E$1+1,2))^2)</f>
        <v>#REF!</v>
      </c>
      <c r="F6" t="e">
        <f>SQRT((INDEX(#REF!,$B6+1,1)-INDEX(#REF!,F$1+1,1))^2+(INDEX(#REF!,$B6+1,2)-INDEX(#REF!,F$1+1,2))^2)</f>
        <v>#REF!</v>
      </c>
      <c r="G6" t="e">
        <f>SQRT((INDEX(#REF!,$B6+1,1)-INDEX(#REF!,G$1+1,1))^2+(INDEX(#REF!,$B6+1,2)-INDEX(#REF!,G$1+1,2))^2)</f>
        <v>#REF!</v>
      </c>
      <c r="H6" t="e">
        <f>SQRT((INDEX(#REF!,$B6+1,1)-INDEX(#REF!,H$1+1,1))^2+(INDEX(#REF!,$B6+1,2)-INDEX(#REF!,H$1+1,2))^2)</f>
        <v>#REF!</v>
      </c>
      <c r="I6" t="e">
        <f>SQRT((INDEX(#REF!,$B6+1,1)-INDEX(#REF!,I$1+1,1))^2+(INDEX(#REF!,$B6+1,2)-INDEX(#REF!,I$1+1,2))^2)</f>
        <v>#REF!</v>
      </c>
      <c r="J6" t="e">
        <f>SQRT((INDEX(#REF!,$B6+1,1)-INDEX(#REF!,J$1+1,1))^2+(INDEX(#REF!,$B6+1,2)-INDEX(#REF!,J$1+1,2))^2)</f>
        <v>#REF!</v>
      </c>
      <c r="K6" t="e">
        <f>SQRT((INDEX(#REF!,$B6+1,1)-INDEX(#REF!,K$1+1,1))^2+(INDEX(#REF!,$B6+1,2)-INDEX(#REF!,K$1+1,2))^2)</f>
        <v>#REF!</v>
      </c>
      <c r="L6" t="e">
        <f>SQRT((INDEX(#REF!,$B6+1,1)-INDEX(#REF!,L$1+1,1))^2+(INDEX(#REF!,$B6+1,2)-INDEX(#REF!,L$1+1,2))^2)</f>
        <v>#REF!</v>
      </c>
      <c r="M6" t="e">
        <f>SQRT((INDEX(#REF!,$B6+1,1)-INDEX(#REF!,M$1+1,1))^2+(INDEX(#REF!,$B6+1,2)-INDEX(#REF!,M$1+1,2))^2)</f>
        <v>#REF!</v>
      </c>
      <c r="N6" t="e">
        <f>SQRT((INDEX(#REF!,$B6+1,1)-INDEX(#REF!,N$1+1,1))^2+(INDEX(#REF!,$B6+1,2)-INDEX(#REF!,N$1+1,2))^2)</f>
        <v>#REF!</v>
      </c>
      <c r="O6" t="e">
        <f>SQRT((INDEX(#REF!,$B6+1,1)-INDEX(#REF!,O$1+1,1))^2+(INDEX(#REF!,$B6+1,2)-INDEX(#REF!,O$1+1,2))^2)</f>
        <v>#REF!</v>
      </c>
      <c r="P6" t="e">
        <f>SQRT((INDEX(#REF!,$B6+1,1)-INDEX(#REF!,P$1+1,1))^2+(INDEX(#REF!,$B6+1,2)-INDEX(#REF!,P$1+1,2))^2)</f>
        <v>#REF!</v>
      </c>
      <c r="Q6" t="e">
        <f>SQRT((INDEX(#REF!,$B6+1,1)-INDEX(#REF!,Q$1+1,1))^2+(INDEX(#REF!,$B6+1,2)-INDEX(#REF!,Q$1+1,2))^2)</f>
        <v>#REF!</v>
      </c>
      <c r="R6" t="e">
        <f>SQRT((INDEX(#REF!,$B6+1,1)-INDEX(#REF!,R$1+1,1))^2+(INDEX(#REF!,$B6+1,2)-INDEX(#REF!,R$1+1,2))^2)</f>
        <v>#REF!</v>
      </c>
      <c r="S6" s="2" t="e">
        <f>SQRT((INDEX(#REF!,$B6+1,1)-INDEX(#REF!,S$1+1,1))^2+(INDEX(#REF!,$B6+1,2)-INDEX(#REF!,S$1+1,2))^2)</f>
        <v>#REF!</v>
      </c>
      <c r="T6" t="e">
        <f>SQRT((INDEX(#REF!,$B6+1,1)-INDEX(#REF!,T$1+1,1))^2+(INDEX(#REF!,$B6+1,2)-INDEX(#REF!,T$1+1,2))^2)</f>
        <v>#REF!</v>
      </c>
      <c r="U6" t="e">
        <f>SQRT((INDEX(#REF!,$B6+1,1)-INDEX(#REF!,U$1+1,1))^2+(INDEX(#REF!,$B6+1,2)-INDEX(#REF!,U$1+1,2))^2)</f>
        <v>#REF!</v>
      </c>
      <c r="V6" t="e">
        <f>SQRT((INDEX(#REF!,$B6+1,1)-INDEX(#REF!,V$1+1,1))^2+(INDEX(#REF!,$B6+1,2)-INDEX(#REF!,V$1+1,2))^2)</f>
        <v>#REF!</v>
      </c>
      <c r="W6" t="e">
        <f>SQRT((INDEX(#REF!,$B6+1,1)-INDEX(#REF!,W$1+1,1))^2+(INDEX(#REF!,$B6+1,2)-INDEX(#REF!,W$1+1,2))^2)</f>
        <v>#REF!</v>
      </c>
      <c r="X6" t="e">
        <f>SQRT((INDEX(#REF!,$B6+1,1)-INDEX(#REF!,X$1+1,1))^2+(INDEX(#REF!,$B6+1,2)-INDEX(#REF!,X$1+1,2))^2)</f>
        <v>#REF!</v>
      </c>
      <c r="Y6" t="e">
        <f>SQRT((INDEX(#REF!,$B6+1,1)-INDEX(#REF!,Y$1+1,1))^2+(INDEX(#REF!,$B6+1,2)-INDEX(#REF!,Y$1+1,2))^2)</f>
        <v>#REF!</v>
      </c>
      <c r="Z6" t="e">
        <f>SQRT((INDEX(#REF!,$B6+1,1)-INDEX(#REF!,Z$1+1,1))^2+(INDEX(#REF!,$B6+1,2)-INDEX(#REF!,Z$1+1,2))^2)</f>
        <v>#REF!</v>
      </c>
      <c r="AA6" t="e">
        <f>SQRT((INDEX(#REF!,$B6+1,1)-INDEX(#REF!,AA$1+1,1))^2+(INDEX(#REF!,$B6+1,2)-INDEX(#REF!,AA$1+1,2))^2)</f>
        <v>#REF!</v>
      </c>
      <c r="AB6" t="e">
        <f>SQRT((INDEX(#REF!,$B6+1,1)-INDEX(#REF!,AB$1+1,1))^2+(INDEX(#REF!,$B6+1,2)-INDEX(#REF!,AB$1+1,2))^2)</f>
        <v>#REF!</v>
      </c>
    </row>
    <row r="7" spans="2:28" x14ac:dyDescent="0.25">
      <c r="B7">
        <v>5</v>
      </c>
      <c r="C7" t="e">
        <f>SQRT((INDEX(#REF!,$B7+1,1)-INDEX(#REF!,C$1+1,1))^2+(INDEX(#REF!,$B7+1,2)-INDEX(#REF!,C$1+1,2))^2)</f>
        <v>#REF!</v>
      </c>
      <c r="D7" t="e">
        <f>SQRT((INDEX(#REF!,$B7+1,1)-INDEX(#REF!,D$1+1,1))^2+(INDEX(#REF!,$B7+1,2)-INDEX(#REF!,D$1+1,2))^2)</f>
        <v>#REF!</v>
      </c>
      <c r="E7" t="e">
        <f>SQRT((INDEX(#REF!,$B7+1,1)-INDEX(#REF!,E$1+1,1))^2+(INDEX(#REF!,$B7+1,2)-INDEX(#REF!,E$1+1,2))^2)</f>
        <v>#REF!</v>
      </c>
      <c r="F7" t="e">
        <f>SQRT((INDEX(#REF!,$B7+1,1)-INDEX(#REF!,F$1+1,1))^2+(INDEX(#REF!,$B7+1,2)-INDEX(#REF!,F$1+1,2))^2)</f>
        <v>#REF!</v>
      </c>
      <c r="G7" t="e">
        <f>SQRT((INDEX(#REF!,$B7+1,1)-INDEX(#REF!,G$1+1,1))^2+(INDEX(#REF!,$B7+1,2)-INDEX(#REF!,G$1+1,2))^2)</f>
        <v>#REF!</v>
      </c>
      <c r="H7" t="e">
        <f>SQRT((INDEX(#REF!,$B7+1,1)-INDEX(#REF!,H$1+1,1))^2+(INDEX(#REF!,$B7+1,2)-INDEX(#REF!,H$1+1,2))^2)</f>
        <v>#REF!</v>
      </c>
      <c r="I7" t="e">
        <f>SQRT((INDEX(#REF!,$B7+1,1)-INDEX(#REF!,I$1+1,1))^2+(INDEX(#REF!,$B7+1,2)-INDEX(#REF!,I$1+1,2))^2)</f>
        <v>#REF!</v>
      </c>
      <c r="J7" t="e">
        <f>SQRT((INDEX(#REF!,$B7+1,1)-INDEX(#REF!,J$1+1,1))^2+(INDEX(#REF!,$B7+1,2)-INDEX(#REF!,J$1+1,2))^2)</f>
        <v>#REF!</v>
      </c>
      <c r="K7" t="e">
        <f>SQRT((INDEX(#REF!,$B7+1,1)-INDEX(#REF!,K$1+1,1))^2+(INDEX(#REF!,$B7+1,2)-INDEX(#REF!,K$1+1,2))^2)</f>
        <v>#REF!</v>
      </c>
      <c r="L7" t="e">
        <f>SQRT((INDEX(#REF!,$B7+1,1)-INDEX(#REF!,L$1+1,1))^2+(INDEX(#REF!,$B7+1,2)-INDEX(#REF!,L$1+1,2))^2)</f>
        <v>#REF!</v>
      </c>
      <c r="M7" t="e">
        <f>SQRT((INDEX(#REF!,$B7+1,1)-INDEX(#REF!,M$1+1,1))^2+(INDEX(#REF!,$B7+1,2)-INDEX(#REF!,M$1+1,2))^2)</f>
        <v>#REF!</v>
      </c>
      <c r="N7" t="e">
        <f>SQRT((INDEX(#REF!,$B7+1,1)-INDEX(#REF!,N$1+1,1))^2+(INDEX(#REF!,$B7+1,2)-INDEX(#REF!,N$1+1,2))^2)</f>
        <v>#REF!</v>
      </c>
      <c r="O7" t="e">
        <f>SQRT((INDEX(#REF!,$B7+1,1)-INDEX(#REF!,O$1+1,1))^2+(INDEX(#REF!,$B7+1,2)-INDEX(#REF!,O$1+1,2))^2)</f>
        <v>#REF!</v>
      </c>
      <c r="P7" t="e">
        <f>SQRT((INDEX(#REF!,$B7+1,1)-INDEX(#REF!,P$1+1,1))^2+(INDEX(#REF!,$B7+1,2)-INDEX(#REF!,P$1+1,2))^2)</f>
        <v>#REF!</v>
      </c>
      <c r="Q7" t="e">
        <f>SQRT((INDEX(#REF!,$B7+1,1)-INDEX(#REF!,Q$1+1,1))^2+(INDEX(#REF!,$B7+1,2)-INDEX(#REF!,Q$1+1,2))^2)</f>
        <v>#REF!</v>
      </c>
      <c r="R7" t="e">
        <f>SQRT((INDEX(#REF!,$B7+1,1)-INDEX(#REF!,R$1+1,1))^2+(INDEX(#REF!,$B7+1,2)-INDEX(#REF!,R$1+1,2))^2)</f>
        <v>#REF!</v>
      </c>
      <c r="S7" s="2" t="e">
        <f>SQRT((INDEX(#REF!,$B7+1,1)-INDEX(#REF!,S$1+1,1))^2+(INDEX(#REF!,$B7+1,2)-INDEX(#REF!,S$1+1,2))^2)</f>
        <v>#REF!</v>
      </c>
      <c r="T7" t="e">
        <f>SQRT((INDEX(#REF!,$B7+1,1)-INDEX(#REF!,T$1+1,1))^2+(INDEX(#REF!,$B7+1,2)-INDEX(#REF!,T$1+1,2))^2)</f>
        <v>#REF!</v>
      </c>
      <c r="U7" t="e">
        <f>SQRT((INDEX(#REF!,$B7+1,1)-INDEX(#REF!,U$1+1,1))^2+(INDEX(#REF!,$B7+1,2)-INDEX(#REF!,U$1+1,2))^2)</f>
        <v>#REF!</v>
      </c>
      <c r="V7" t="e">
        <f>SQRT((INDEX(#REF!,$B7+1,1)-INDEX(#REF!,V$1+1,1))^2+(INDEX(#REF!,$B7+1,2)-INDEX(#REF!,V$1+1,2))^2)</f>
        <v>#REF!</v>
      </c>
      <c r="W7" t="e">
        <f>SQRT((INDEX(#REF!,$B7+1,1)-INDEX(#REF!,W$1+1,1))^2+(INDEX(#REF!,$B7+1,2)-INDEX(#REF!,W$1+1,2))^2)</f>
        <v>#REF!</v>
      </c>
      <c r="X7" t="e">
        <f>SQRT((INDEX(#REF!,$B7+1,1)-INDEX(#REF!,X$1+1,1))^2+(INDEX(#REF!,$B7+1,2)-INDEX(#REF!,X$1+1,2))^2)</f>
        <v>#REF!</v>
      </c>
      <c r="Y7" t="e">
        <f>SQRT((INDEX(#REF!,$B7+1,1)-INDEX(#REF!,Y$1+1,1))^2+(INDEX(#REF!,$B7+1,2)-INDEX(#REF!,Y$1+1,2))^2)</f>
        <v>#REF!</v>
      </c>
      <c r="Z7" t="e">
        <f>SQRT((INDEX(#REF!,$B7+1,1)-INDEX(#REF!,Z$1+1,1))^2+(INDEX(#REF!,$B7+1,2)-INDEX(#REF!,Z$1+1,2))^2)</f>
        <v>#REF!</v>
      </c>
      <c r="AA7" t="e">
        <f>SQRT((INDEX(#REF!,$B7+1,1)-INDEX(#REF!,AA$1+1,1))^2+(INDEX(#REF!,$B7+1,2)-INDEX(#REF!,AA$1+1,2))^2)</f>
        <v>#REF!</v>
      </c>
      <c r="AB7" t="e">
        <f>SQRT((INDEX(#REF!,$B7+1,1)-INDEX(#REF!,AB$1+1,1))^2+(INDEX(#REF!,$B7+1,2)-INDEX(#REF!,AB$1+1,2))^2)</f>
        <v>#REF!</v>
      </c>
    </row>
    <row r="8" spans="2:28" x14ac:dyDescent="0.25">
      <c r="B8">
        <v>6</v>
      </c>
      <c r="C8" t="e">
        <f>SQRT((INDEX(#REF!,$B8+1,1)-INDEX(#REF!,C$1+1,1))^2+(INDEX(#REF!,$B8+1,2)-INDEX(#REF!,C$1+1,2))^2)</f>
        <v>#REF!</v>
      </c>
      <c r="D8" t="e">
        <f>SQRT((INDEX(#REF!,$B8+1,1)-INDEX(#REF!,D$1+1,1))^2+(INDEX(#REF!,$B8+1,2)-INDEX(#REF!,D$1+1,2))^2)</f>
        <v>#REF!</v>
      </c>
      <c r="E8" t="e">
        <f>SQRT((INDEX(#REF!,$B8+1,1)-INDEX(#REF!,E$1+1,1))^2+(INDEX(#REF!,$B8+1,2)-INDEX(#REF!,E$1+1,2))^2)</f>
        <v>#REF!</v>
      </c>
      <c r="F8" t="e">
        <f>SQRT((INDEX(#REF!,$B8+1,1)-INDEX(#REF!,F$1+1,1))^2+(INDEX(#REF!,$B8+1,2)-INDEX(#REF!,F$1+1,2))^2)</f>
        <v>#REF!</v>
      </c>
      <c r="G8" t="e">
        <f>SQRT((INDEX(#REF!,$B8+1,1)-INDEX(#REF!,G$1+1,1))^2+(INDEX(#REF!,$B8+1,2)-INDEX(#REF!,G$1+1,2))^2)</f>
        <v>#REF!</v>
      </c>
      <c r="H8" t="e">
        <f>SQRT((INDEX(#REF!,$B8+1,1)-INDEX(#REF!,H$1+1,1))^2+(INDEX(#REF!,$B8+1,2)-INDEX(#REF!,H$1+1,2))^2)</f>
        <v>#REF!</v>
      </c>
      <c r="I8" t="e">
        <f>SQRT((INDEX(#REF!,$B8+1,1)-INDEX(#REF!,I$1+1,1))^2+(INDEX(#REF!,$B8+1,2)-INDEX(#REF!,I$1+1,2))^2)</f>
        <v>#REF!</v>
      </c>
      <c r="J8" t="e">
        <f>SQRT((INDEX(#REF!,$B8+1,1)-INDEX(#REF!,J$1+1,1))^2+(INDEX(#REF!,$B8+1,2)-INDEX(#REF!,J$1+1,2))^2)</f>
        <v>#REF!</v>
      </c>
      <c r="K8" t="e">
        <f>SQRT((INDEX(#REF!,$B8+1,1)-INDEX(#REF!,K$1+1,1))^2+(INDEX(#REF!,$B8+1,2)-INDEX(#REF!,K$1+1,2))^2)</f>
        <v>#REF!</v>
      </c>
      <c r="L8" t="e">
        <f>SQRT((INDEX(#REF!,$B8+1,1)-INDEX(#REF!,L$1+1,1))^2+(INDEX(#REF!,$B8+1,2)-INDEX(#REF!,L$1+1,2))^2)</f>
        <v>#REF!</v>
      </c>
      <c r="M8" t="e">
        <f>SQRT((INDEX(#REF!,$B8+1,1)-INDEX(#REF!,M$1+1,1))^2+(INDEX(#REF!,$B8+1,2)-INDEX(#REF!,M$1+1,2))^2)</f>
        <v>#REF!</v>
      </c>
      <c r="N8" t="e">
        <f>SQRT((INDEX(#REF!,$B8+1,1)-INDEX(#REF!,N$1+1,1))^2+(INDEX(#REF!,$B8+1,2)-INDEX(#REF!,N$1+1,2))^2)</f>
        <v>#REF!</v>
      </c>
      <c r="O8" t="e">
        <f>SQRT((INDEX(#REF!,$B8+1,1)-INDEX(#REF!,O$1+1,1))^2+(INDEX(#REF!,$B8+1,2)-INDEX(#REF!,O$1+1,2))^2)</f>
        <v>#REF!</v>
      </c>
      <c r="P8" t="e">
        <f>SQRT((INDEX(#REF!,$B8+1,1)-INDEX(#REF!,P$1+1,1))^2+(INDEX(#REF!,$B8+1,2)-INDEX(#REF!,P$1+1,2))^2)</f>
        <v>#REF!</v>
      </c>
      <c r="Q8" t="e">
        <f>SQRT((INDEX(#REF!,$B8+1,1)-INDEX(#REF!,Q$1+1,1))^2+(INDEX(#REF!,$B8+1,2)-INDEX(#REF!,Q$1+1,2))^2)</f>
        <v>#REF!</v>
      </c>
      <c r="R8" t="e">
        <f>SQRT((INDEX(#REF!,$B8+1,1)-INDEX(#REF!,R$1+1,1))^2+(INDEX(#REF!,$B8+1,2)-INDEX(#REF!,R$1+1,2))^2)</f>
        <v>#REF!</v>
      </c>
      <c r="S8" s="2" t="e">
        <f>SQRT((INDEX(#REF!,$B8+1,1)-INDEX(#REF!,S$1+1,1))^2+(INDEX(#REF!,$B8+1,2)-INDEX(#REF!,S$1+1,2))^2)</f>
        <v>#REF!</v>
      </c>
      <c r="T8" t="e">
        <f>SQRT((INDEX(#REF!,$B8+1,1)-INDEX(#REF!,T$1+1,1))^2+(INDEX(#REF!,$B8+1,2)-INDEX(#REF!,T$1+1,2))^2)</f>
        <v>#REF!</v>
      </c>
      <c r="U8" t="e">
        <f>SQRT((INDEX(#REF!,$B8+1,1)-INDEX(#REF!,U$1+1,1))^2+(INDEX(#REF!,$B8+1,2)-INDEX(#REF!,U$1+1,2))^2)</f>
        <v>#REF!</v>
      </c>
      <c r="V8" t="e">
        <f>SQRT((INDEX(#REF!,$B8+1,1)-INDEX(#REF!,V$1+1,1))^2+(INDEX(#REF!,$B8+1,2)-INDEX(#REF!,V$1+1,2))^2)</f>
        <v>#REF!</v>
      </c>
      <c r="W8" t="e">
        <f>SQRT((INDEX(#REF!,$B8+1,1)-INDEX(#REF!,W$1+1,1))^2+(INDEX(#REF!,$B8+1,2)-INDEX(#REF!,W$1+1,2))^2)</f>
        <v>#REF!</v>
      </c>
      <c r="X8" t="e">
        <f>SQRT((INDEX(#REF!,$B8+1,1)-INDEX(#REF!,X$1+1,1))^2+(INDEX(#REF!,$B8+1,2)-INDEX(#REF!,X$1+1,2))^2)</f>
        <v>#REF!</v>
      </c>
      <c r="Y8" t="e">
        <f>SQRT((INDEX(#REF!,$B8+1,1)-INDEX(#REF!,Y$1+1,1))^2+(INDEX(#REF!,$B8+1,2)-INDEX(#REF!,Y$1+1,2))^2)</f>
        <v>#REF!</v>
      </c>
      <c r="Z8" t="e">
        <f>SQRT((INDEX(#REF!,$B8+1,1)-INDEX(#REF!,Z$1+1,1))^2+(INDEX(#REF!,$B8+1,2)-INDEX(#REF!,Z$1+1,2))^2)</f>
        <v>#REF!</v>
      </c>
      <c r="AA8" t="e">
        <f>SQRT((INDEX(#REF!,$B8+1,1)-INDEX(#REF!,AA$1+1,1))^2+(INDEX(#REF!,$B8+1,2)-INDEX(#REF!,AA$1+1,2))^2)</f>
        <v>#REF!</v>
      </c>
      <c r="AB8" t="e">
        <f>SQRT((INDEX(#REF!,$B8+1,1)-INDEX(#REF!,AB$1+1,1))^2+(INDEX(#REF!,$B8+1,2)-INDEX(#REF!,AB$1+1,2))^2)</f>
        <v>#REF!</v>
      </c>
    </row>
    <row r="9" spans="2:28" x14ac:dyDescent="0.25">
      <c r="B9">
        <v>7</v>
      </c>
      <c r="C9" t="e">
        <f>SQRT((INDEX(#REF!,$B9+1,1)-INDEX(#REF!,C$1+1,1))^2+(INDEX(#REF!,$B9+1,2)-INDEX(#REF!,C$1+1,2))^2)</f>
        <v>#REF!</v>
      </c>
      <c r="D9" t="e">
        <f>SQRT((INDEX(#REF!,$B9+1,1)-INDEX(#REF!,D$1+1,1))^2+(INDEX(#REF!,$B9+1,2)-INDEX(#REF!,D$1+1,2))^2)</f>
        <v>#REF!</v>
      </c>
      <c r="E9" t="e">
        <f>SQRT((INDEX(#REF!,$B9+1,1)-INDEX(#REF!,E$1+1,1))^2+(INDEX(#REF!,$B9+1,2)-INDEX(#REF!,E$1+1,2))^2)</f>
        <v>#REF!</v>
      </c>
      <c r="F9" t="e">
        <f>SQRT((INDEX(#REF!,$B9+1,1)-INDEX(#REF!,F$1+1,1))^2+(INDEX(#REF!,$B9+1,2)-INDEX(#REF!,F$1+1,2))^2)</f>
        <v>#REF!</v>
      </c>
      <c r="G9" t="e">
        <f>SQRT((INDEX(#REF!,$B9+1,1)-INDEX(#REF!,G$1+1,1))^2+(INDEX(#REF!,$B9+1,2)-INDEX(#REF!,G$1+1,2))^2)</f>
        <v>#REF!</v>
      </c>
      <c r="H9" t="e">
        <f>SQRT((INDEX(#REF!,$B9+1,1)-INDEX(#REF!,H$1+1,1))^2+(INDEX(#REF!,$B9+1,2)-INDEX(#REF!,H$1+1,2))^2)</f>
        <v>#REF!</v>
      </c>
      <c r="I9" t="e">
        <f>SQRT((INDEX(#REF!,$B9+1,1)-INDEX(#REF!,I$1+1,1))^2+(INDEX(#REF!,$B9+1,2)-INDEX(#REF!,I$1+1,2))^2)</f>
        <v>#REF!</v>
      </c>
      <c r="J9" t="e">
        <f>SQRT((INDEX(#REF!,$B9+1,1)-INDEX(#REF!,J$1+1,1))^2+(INDEX(#REF!,$B9+1,2)-INDEX(#REF!,J$1+1,2))^2)</f>
        <v>#REF!</v>
      </c>
      <c r="K9" t="e">
        <f>SQRT((INDEX(#REF!,$B9+1,1)-INDEX(#REF!,K$1+1,1))^2+(INDEX(#REF!,$B9+1,2)-INDEX(#REF!,K$1+1,2))^2)</f>
        <v>#REF!</v>
      </c>
      <c r="L9" t="e">
        <f>SQRT((INDEX(#REF!,$B9+1,1)-INDEX(#REF!,L$1+1,1))^2+(INDEX(#REF!,$B9+1,2)-INDEX(#REF!,L$1+1,2))^2)</f>
        <v>#REF!</v>
      </c>
      <c r="M9" t="e">
        <f>SQRT((INDEX(#REF!,$B9+1,1)-INDEX(#REF!,M$1+1,1))^2+(INDEX(#REF!,$B9+1,2)-INDEX(#REF!,M$1+1,2))^2)</f>
        <v>#REF!</v>
      </c>
      <c r="N9" t="e">
        <f>SQRT((INDEX(#REF!,$B9+1,1)-INDEX(#REF!,N$1+1,1))^2+(INDEX(#REF!,$B9+1,2)-INDEX(#REF!,N$1+1,2))^2)</f>
        <v>#REF!</v>
      </c>
      <c r="O9" t="e">
        <f>SQRT((INDEX(#REF!,$B9+1,1)-INDEX(#REF!,O$1+1,1))^2+(INDEX(#REF!,$B9+1,2)-INDEX(#REF!,O$1+1,2))^2)</f>
        <v>#REF!</v>
      </c>
      <c r="P9" t="e">
        <f>SQRT((INDEX(#REF!,$B9+1,1)-INDEX(#REF!,P$1+1,1))^2+(INDEX(#REF!,$B9+1,2)-INDEX(#REF!,P$1+1,2))^2)</f>
        <v>#REF!</v>
      </c>
      <c r="Q9" t="e">
        <f>SQRT((INDEX(#REF!,$B9+1,1)-INDEX(#REF!,Q$1+1,1))^2+(INDEX(#REF!,$B9+1,2)-INDEX(#REF!,Q$1+1,2))^2)</f>
        <v>#REF!</v>
      </c>
      <c r="R9" t="e">
        <f>SQRT((INDEX(#REF!,$B9+1,1)-INDEX(#REF!,R$1+1,1))^2+(INDEX(#REF!,$B9+1,2)-INDEX(#REF!,R$1+1,2))^2)</f>
        <v>#REF!</v>
      </c>
      <c r="S9" s="2" t="e">
        <f>SQRT((INDEX(#REF!,$B9+1,1)-INDEX(#REF!,S$1+1,1))^2+(INDEX(#REF!,$B9+1,2)-INDEX(#REF!,S$1+1,2))^2)</f>
        <v>#REF!</v>
      </c>
      <c r="T9" t="e">
        <f>SQRT((INDEX(#REF!,$B9+1,1)-INDEX(#REF!,T$1+1,1))^2+(INDEX(#REF!,$B9+1,2)-INDEX(#REF!,T$1+1,2))^2)</f>
        <v>#REF!</v>
      </c>
      <c r="U9" t="e">
        <f>SQRT((INDEX(#REF!,$B9+1,1)-INDEX(#REF!,U$1+1,1))^2+(INDEX(#REF!,$B9+1,2)-INDEX(#REF!,U$1+1,2))^2)</f>
        <v>#REF!</v>
      </c>
      <c r="V9" t="e">
        <f>SQRT((INDEX(#REF!,$B9+1,1)-INDEX(#REF!,V$1+1,1))^2+(INDEX(#REF!,$B9+1,2)-INDEX(#REF!,V$1+1,2))^2)</f>
        <v>#REF!</v>
      </c>
      <c r="W9" t="e">
        <f>SQRT((INDEX(#REF!,$B9+1,1)-INDEX(#REF!,W$1+1,1))^2+(INDEX(#REF!,$B9+1,2)-INDEX(#REF!,W$1+1,2))^2)</f>
        <v>#REF!</v>
      </c>
      <c r="X9" t="e">
        <f>SQRT((INDEX(#REF!,$B9+1,1)-INDEX(#REF!,X$1+1,1))^2+(INDEX(#REF!,$B9+1,2)-INDEX(#REF!,X$1+1,2))^2)</f>
        <v>#REF!</v>
      </c>
      <c r="Y9" t="e">
        <f>SQRT((INDEX(#REF!,$B9+1,1)-INDEX(#REF!,Y$1+1,1))^2+(INDEX(#REF!,$B9+1,2)-INDEX(#REF!,Y$1+1,2))^2)</f>
        <v>#REF!</v>
      </c>
      <c r="Z9" t="e">
        <f>SQRT((INDEX(#REF!,$B9+1,1)-INDEX(#REF!,Z$1+1,1))^2+(INDEX(#REF!,$B9+1,2)-INDEX(#REF!,Z$1+1,2))^2)</f>
        <v>#REF!</v>
      </c>
      <c r="AA9" t="e">
        <f>SQRT((INDEX(#REF!,$B9+1,1)-INDEX(#REF!,AA$1+1,1))^2+(INDEX(#REF!,$B9+1,2)-INDEX(#REF!,AA$1+1,2))^2)</f>
        <v>#REF!</v>
      </c>
      <c r="AB9" t="e">
        <f>SQRT((INDEX(#REF!,$B9+1,1)-INDEX(#REF!,AB$1+1,1))^2+(INDEX(#REF!,$B9+1,2)-INDEX(#REF!,AB$1+1,2))^2)</f>
        <v>#REF!</v>
      </c>
    </row>
    <row r="10" spans="2:28" x14ac:dyDescent="0.25">
      <c r="B10">
        <v>8</v>
      </c>
      <c r="C10" t="e">
        <f>SQRT((INDEX(#REF!,$B10+1,1)-INDEX(#REF!,C$1+1,1))^2+(INDEX(#REF!,$B10+1,2)-INDEX(#REF!,C$1+1,2))^2)</f>
        <v>#REF!</v>
      </c>
      <c r="D10" t="e">
        <f>SQRT((INDEX(#REF!,$B10+1,1)-INDEX(#REF!,D$1+1,1))^2+(INDEX(#REF!,$B10+1,2)-INDEX(#REF!,D$1+1,2))^2)</f>
        <v>#REF!</v>
      </c>
      <c r="E10" t="e">
        <f>SQRT((INDEX(#REF!,$B10+1,1)-INDEX(#REF!,E$1+1,1))^2+(INDEX(#REF!,$B10+1,2)-INDEX(#REF!,E$1+1,2))^2)</f>
        <v>#REF!</v>
      </c>
      <c r="F10" t="e">
        <f>SQRT((INDEX(#REF!,$B10+1,1)-INDEX(#REF!,F$1+1,1))^2+(INDEX(#REF!,$B10+1,2)-INDEX(#REF!,F$1+1,2))^2)</f>
        <v>#REF!</v>
      </c>
      <c r="G10" t="e">
        <f>SQRT((INDEX(#REF!,$B10+1,1)-INDEX(#REF!,G$1+1,1))^2+(INDEX(#REF!,$B10+1,2)-INDEX(#REF!,G$1+1,2))^2)</f>
        <v>#REF!</v>
      </c>
      <c r="H10" t="e">
        <f>SQRT((INDEX(#REF!,$B10+1,1)-INDEX(#REF!,H$1+1,1))^2+(INDEX(#REF!,$B10+1,2)-INDEX(#REF!,H$1+1,2))^2)</f>
        <v>#REF!</v>
      </c>
      <c r="I10" t="e">
        <f>SQRT((INDEX(#REF!,$B10+1,1)-INDEX(#REF!,I$1+1,1))^2+(INDEX(#REF!,$B10+1,2)-INDEX(#REF!,I$1+1,2))^2)</f>
        <v>#REF!</v>
      </c>
      <c r="J10" t="e">
        <f>SQRT((INDEX(#REF!,$B10+1,1)-INDEX(#REF!,J$1+1,1))^2+(INDEX(#REF!,$B10+1,2)-INDEX(#REF!,J$1+1,2))^2)</f>
        <v>#REF!</v>
      </c>
      <c r="K10" t="e">
        <f>SQRT((INDEX(#REF!,$B10+1,1)-INDEX(#REF!,K$1+1,1))^2+(INDEX(#REF!,$B10+1,2)-INDEX(#REF!,K$1+1,2))^2)</f>
        <v>#REF!</v>
      </c>
      <c r="L10" t="e">
        <f>SQRT((INDEX(#REF!,$B10+1,1)-INDEX(#REF!,L$1+1,1))^2+(INDEX(#REF!,$B10+1,2)-INDEX(#REF!,L$1+1,2))^2)</f>
        <v>#REF!</v>
      </c>
      <c r="M10" t="e">
        <f>SQRT((INDEX(#REF!,$B10+1,1)-INDEX(#REF!,M$1+1,1))^2+(INDEX(#REF!,$B10+1,2)-INDEX(#REF!,M$1+1,2))^2)</f>
        <v>#REF!</v>
      </c>
      <c r="N10" t="e">
        <f>SQRT((INDEX(#REF!,$B10+1,1)-INDEX(#REF!,N$1+1,1))^2+(INDEX(#REF!,$B10+1,2)-INDEX(#REF!,N$1+1,2))^2)</f>
        <v>#REF!</v>
      </c>
      <c r="O10" t="e">
        <f>SQRT((INDEX(#REF!,$B10+1,1)-INDEX(#REF!,O$1+1,1))^2+(INDEX(#REF!,$B10+1,2)-INDEX(#REF!,O$1+1,2))^2)</f>
        <v>#REF!</v>
      </c>
      <c r="P10" t="e">
        <f>SQRT((INDEX(#REF!,$B10+1,1)-INDEX(#REF!,P$1+1,1))^2+(INDEX(#REF!,$B10+1,2)-INDEX(#REF!,P$1+1,2))^2)</f>
        <v>#REF!</v>
      </c>
      <c r="Q10" t="e">
        <f>SQRT((INDEX(#REF!,$B10+1,1)-INDEX(#REF!,Q$1+1,1))^2+(INDEX(#REF!,$B10+1,2)-INDEX(#REF!,Q$1+1,2))^2)</f>
        <v>#REF!</v>
      </c>
      <c r="R10" t="e">
        <f>SQRT((INDEX(#REF!,$B10+1,1)-INDEX(#REF!,R$1+1,1))^2+(INDEX(#REF!,$B10+1,2)-INDEX(#REF!,R$1+1,2))^2)</f>
        <v>#REF!</v>
      </c>
      <c r="S10" s="2" t="e">
        <f>SQRT((INDEX(#REF!,$B10+1,1)-INDEX(#REF!,S$1+1,1))^2+(INDEX(#REF!,$B10+1,2)-INDEX(#REF!,S$1+1,2))^2)</f>
        <v>#REF!</v>
      </c>
      <c r="T10" t="e">
        <f>SQRT((INDEX(#REF!,$B10+1,1)-INDEX(#REF!,T$1+1,1))^2+(INDEX(#REF!,$B10+1,2)-INDEX(#REF!,T$1+1,2))^2)</f>
        <v>#REF!</v>
      </c>
      <c r="U10" t="e">
        <f>SQRT((INDEX(#REF!,$B10+1,1)-INDEX(#REF!,U$1+1,1))^2+(INDEX(#REF!,$B10+1,2)-INDEX(#REF!,U$1+1,2))^2)</f>
        <v>#REF!</v>
      </c>
      <c r="V10" t="e">
        <f>SQRT((INDEX(#REF!,$B10+1,1)-INDEX(#REF!,V$1+1,1))^2+(INDEX(#REF!,$B10+1,2)-INDEX(#REF!,V$1+1,2))^2)</f>
        <v>#REF!</v>
      </c>
      <c r="W10" t="e">
        <f>SQRT((INDEX(#REF!,$B10+1,1)-INDEX(#REF!,W$1+1,1))^2+(INDEX(#REF!,$B10+1,2)-INDEX(#REF!,W$1+1,2))^2)</f>
        <v>#REF!</v>
      </c>
      <c r="X10" t="e">
        <f>SQRT((INDEX(#REF!,$B10+1,1)-INDEX(#REF!,X$1+1,1))^2+(INDEX(#REF!,$B10+1,2)-INDEX(#REF!,X$1+1,2))^2)</f>
        <v>#REF!</v>
      </c>
      <c r="Y10" t="e">
        <f>SQRT((INDEX(#REF!,$B10+1,1)-INDEX(#REF!,Y$1+1,1))^2+(INDEX(#REF!,$B10+1,2)-INDEX(#REF!,Y$1+1,2))^2)</f>
        <v>#REF!</v>
      </c>
      <c r="Z10" t="e">
        <f>SQRT((INDEX(#REF!,$B10+1,1)-INDEX(#REF!,Z$1+1,1))^2+(INDEX(#REF!,$B10+1,2)-INDEX(#REF!,Z$1+1,2))^2)</f>
        <v>#REF!</v>
      </c>
      <c r="AA10" t="e">
        <f>SQRT((INDEX(#REF!,$B10+1,1)-INDEX(#REF!,AA$1+1,1))^2+(INDEX(#REF!,$B10+1,2)-INDEX(#REF!,AA$1+1,2))^2)</f>
        <v>#REF!</v>
      </c>
      <c r="AB10" t="e">
        <f>SQRT((INDEX(#REF!,$B10+1,1)-INDEX(#REF!,AB$1+1,1))^2+(INDEX(#REF!,$B10+1,2)-INDEX(#REF!,AB$1+1,2))^2)</f>
        <v>#REF!</v>
      </c>
    </row>
    <row r="11" spans="2:28" x14ac:dyDescent="0.25">
      <c r="B11">
        <v>9</v>
      </c>
      <c r="C11" t="e">
        <f>SQRT((INDEX(#REF!,$B11+1,1)-INDEX(#REF!,C$1+1,1))^2+(INDEX(#REF!,$B11+1,2)-INDEX(#REF!,C$1+1,2))^2)</f>
        <v>#REF!</v>
      </c>
      <c r="D11" t="e">
        <f>SQRT((INDEX(#REF!,$B11+1,1)-INDEX(#REF!,D$1+1,1))^2+(INDEX(#REF!,$B11+1,2)-INDEX(#REF!,D$1+1,2))^2)</f>
        <v>#REF!</v>
      </c>
      <c r="E11" t="e">
        <f>SQRT((INDEX(#REF!,$B11+1,1)-INDEX(#REF!,E$1+1,1))^2+(INDEX(#REF!,$B11+1,2)-INDEX(#REF!,E$1+1,2))^2)</f>
        <v>#REF!</v>
      </c>
      <c r="F11" t="e">
        <f>SQRT((INDEX(#REF!,$B11+1,1)-INDEX(#REF!,F$1+1,1))^2+(INDEX(#REF!,$B11+1,2)-INDEX(#REF!,F$1+1,2))^2)</f>
        <v>#REF!</v>
      </c>
      <c r="G11" t="e">
        <f>SQRT((INDEX(#REF!,$B11+1,1)-INDEX(#REF!,G$1+1,1))^2+(INDEX(#REF!,$B11+1,2)-INDEX(#REF!,G$1+1,2))^2)</f>
        <v>#REF!</v>
      </c>
      <c r="H11" t="e">
        <f>SQRT((INDEX(#REF!,$B11+1,1)-INDEX(#REF!,H$1+1,1))^2+(INDEX(#REF!,$B11+1,2)-INDEX(#REF!,H$1+1,2))^2)</f>
        <v>#REF!</v>
      </c>
      <c r="I11" t="e">
        <f>SQRT((INDEX(#REF!,$B11+1,1)-INDEX(#REF!,I$1+1,1))^2+(INDEX(#REF!,$B11+1,2)-INDEX(#REF!,I$1+1,2))^2)</f>
        <v>#REF!</v>
      </c>
      <c r="J11" t="e">
        <f>SQRT((INDEX(#REF!,$B11+1,1)-INDEX(#REF!,J$1+1,1))^2+(INDEX(#REF!,$B11+1,2)-INDEX(#REF!,J$1+1,2))^2)</f>
        <v>#REF!</v>
      </c>
      <c r="K11" t="e">
        <f>SQRT((INDEX(#REF!,$B11+1,1)-INDEX(#REF!,K$1+1,1))^2+(INDEX(#REF!,$B11+1,2)-INDEX(#REF!,K$1+1,2))^2)</f>
        <v>#REF!</v>
      </c>
      <c r="L11" t="e">
        <f>SQRT((INDEX(#REF!,$B11+1,1)-INDEX(#REF!,L$1+1,1))^2+(INDEX(#REF!,$B11+1,2)-INDEX(#REF!,L$1+1,2))^2)</f>
        <v>#REF!</v>
      </c>
      <c r="M11" t="e">
        <f>SQRT((INDEX(#REF!,$B11+1,1)-INDEX(#REF!,M$1+1,1))^2+(INDEX(#REF!,$B11+1,2)-INDEX(#REF!,M$1+1,2))^2)</f>
        <v>#REF!</v>
      </c>
      <c r="N11" t="e">
        <f>SQRT((INDEX(#REF!,$B11+1,1)-INDEX(#REF!,N$1+1,1))^2+(INDEX(#REF!,$B11+1,2)-INDEX(#REF!,N$1+1,2))^2)</f>
        <v>#REF!</v>
      </c>
      <c r="O11" t="e">
        <f>SQRT((INDEX(#REF!,$B11+1,1)-INDEX(#REF!,O$1+1,1))^2+(INDEX(#REF!,$B11+1,2)-INDEX(#REF!,O$1+1,2))^2)</f>
        <v>#REF!</v>
      </c>
      <c r="P11" t="e">
        <f>SQRT((INDEX(#REF!,$B11+1,1)-INDEX(#REF!,P$1+1,1))^2+(INDEX(#REF!,$B11+1,2)-INDEX(#REF!,P$1+1,2))^2)</f>
        <v>#REF!</v>
      </c>
      <c r="Q11" t="e">
        <f>SQRT((INDEX(#REF!,$B11+1,1)-INDEX(#REF!,Q$1+1,1))^2+(INDEX(#REF!,$B11+1,2)-INDEX(#REF!,Q$1+1,2))^2)</f>
        <v>#REF!</v>
      </c>
      <c r="R11" t="e">
        <f>SQRT((INDEX(#REF!,$B11+1,1)-INDEX(#REF!,R$1+1,1))^2+(INDEX(#REF!,$B11+1,2)-INDEX(#REF!,R$1+1,2))^2)</f>
        <v>#REF!</v>
      </c>
      <c r="S11" s="2" t="e">
        <f>SQRT((INDEX(#REF!,$B11+1,1)-INDEX(#REF!,S$1+1,1))^2+(INDEX(#REF!,$B11+1,2)-INDEX(#REF!,S$1+1,2))^2)</f>
        <v>#REF!</v>
      </c>
      <c r="T11" t="e">
        <f>SQRT((INDEX(#REF!,$B11+1,1)-INDEX(#REF!,T$1+1,1))^2+(INDEX(#REF!,$B11+1,2)-INDEX(#REF!,T$1+1,2))^2)</f>
        <v>#REF!</v>
      </c>
      <c r="U11" t="e">
        <f>SQRT((INDEX(#REF!,$B11+1,1)-INDEX(#REF!,U$1+1,1))^2+(INDEX(#REF!,$B11+1,2)-INDEX(#REF!,U$1+1,2))^2)</f>
        <v>#REF!</v>
      </c>
      <c r="V11" t="e">
        <f>SQRT((INDEX(#REF!,$B11+1,1)-INDEX(#REF!,V$1+1,1))^2+(INDEX(#REF!,$B11+1,2)-INDEX(#REF!,V$1+1,2))^2)</f>
        <v>#REF!</v>
      </c>
      <c r="W11" t="e">
        <f>SQRT((INDEX(#REF!,$B11+1,1)-INDEX(#REF!,W$1+1,1))^2+(INDEX(#REF!,$B11+1,2)-INDEX(#REF!,W$1+1,2))^2)</f>
        <v>#REF!</v>
      </c>
      <c r="X11" t="e">
        <f>SQRT((INDEX(#REF!,$B11+1,1)-INDEX(#REF!,X$1+1,1))^2+(INDEX(#REF!,$B11+1,2)-INDEX(#REF!,X$1+1,2))^2)</f>
        <v>#REF!</v>
      </c>
      <c r="Y11" t="e">
        <f>SQRT((INDEX(#REF!,$B11+1,1)-INDEX(#REF!,Y$1+1,1))^2+(INDEX(#REF!,$B11+1,2)-INDEX(#REF!,Y$1+1,2))^2)</f>
        <v>#REF!</v>
      </c>
      <c r="Z11" t="e">
        <f>SQRT((INDEX(#REF!,$B11+1,1)-INDEX(#REF!,Z$1+1,1))^2+(INDEX(#REF!,$B11+1,2)-INDEX(#REF!,Z$1+1,2))^2)</f>
        <v>#REF!</v>
      </c>
      <c r="AA11" t="e">
        <f>SQRT((INDEX(#REF!,$B11+1,1)-INDEX(#REF!,AA$1+1,1))^2+(INDEX(#REF!,$B11+1,2)-INDEX(#REF!,AA$1+1,2))^2)</f>
        <v>#REF!</v>
      </c>
      <c r="AB11" t="e">
        <f>SQRT((INDEX(#REF!,$B11+1,1)-INDEX(#REF!,AB$1+1,1))^2+(INDEX(#REF!,$B11+1,2)-INDEX(#REF!,AB$1+1,2))^2)</f>
        <v>#REF!</v>
      </c>
    </row>
    <row r="12" spans="2:28" x14ac:dyDescent="0.25">
      <c r="B12">
        <v>10</v>
      </c>
      <c r="C12" t="e">
        <f>SQRT((INDEX(#REF!,$B12+1,1)-INDEX(#REF!,C$1+1,1))^2+(INDEX(#REF!,$B12+1,2)-INDEX(#REF!,C$1+1,2))^2)</f>
        <v>#REF!</v>
      </c>
      <c r="D12" t="e">
        <f>SQRT((INDEX(#REF!,$B12+1,1)-INDEX(#REF!,D$1+1,1))^2+(INDEX(#REF!,$B12+1,2)-INDEX(#REF!,D$1+1,2))^2)</f>
        <v>#REF!</v>
      </c>
      <c r="E12" t="e">
        <f>SQRT((INDEX(#REF!,$B12+1,1)-INDEX(#REF!,E$1+1,1))^2+(INDEX(#REF!,$B12+1,2)-INDEX(#REF!,E$1+1,2))^2)</f>
        <v>#REF!</v>
      </c>
      <c r="F12" t="e">
        <f>SQRT((INDEX(#REF!,$B12+1,1)-INDEX(#REF!,F$1+1,1))^2+(INDEX(#REF!,$B12+1,2)-INDEX(#REF!,F$1+1,2))^2)</f>
        <v>#REF!</v>
      </c>
      <c r="G12" t="e">
        <f>SQRT((INDEX(#REF!,$B12+1,1)-INDEX(#REF!,G$1+1,1))^2+(INDEX(#REF!,$B12+1,2)-INDEX(#REF!,G$1+1,2))^2)</f>
        <v>#REF!</v>
      </c>
      <c r="H12" t="e">
        <f>SQRT((INDEX(#REF!,$B12+1,1)-INDEX(#REF!,H$1+1,1))^2+(INDEX(#REF!,$B12+1,2)-INDEX(#REF!,H$1+1,2))^2)</f>
        <v>#REF!</v>
      </c>
      <c r="I12" t="e">
        <f>SQRT((INDEX(#REF!,$B12+1,1)-INDEX(#REF!,I$1+1,1))^2+(INDEX(#REF!,$B12+1,2)-INDEX(#REF!,I$1+1,2))^2)</f>
        <v>#REF!</v>
      </c>
      <c r="J12" t="e">
        <f>SQRT((INDEX(#REF!,$B12+1,1)-INDEX(#REF!,J$1+1,1))^2+(INDEX(#REF!,$B12+1,2)-INDEX(#REF!,J$1+1,2))^2)</f>
        <v>#REF!</v>
      </c>
      <c r="K12" t="e">
        <f>SQRT((INDEX(#REF!,$B12+1,1)-INDEX(#REF!,K$1+1,1))^2+(INDEX(#REF!,$B12+1,2)-INDEX(#REF!,K$1+1,2))^2)</f>
        <v>#REF!</v>
      </c>
      <c r="L12" t="e">
        <f>SQRT((INDEX(#REF!,$B12+1,1)-INDEX(#REF!,L$1+1,1))^2+(INDEX(#REF!,$B12+1,2)-INDEX(#REF!,L$1+1,2))^2)</f>
        <v>#REF!</v>
      </c>
      <c r="M12" t="e">
        <f>SQRT((INDEX(#REF!,$B12+1,1)-INDEX(#REF!,M$1+1,1))^2+(INDEX(#REF!,$B12+1,2)-INDEX(#REF!,M$1+1,2))^2)</f>
        <v>#REF!</v>
      </c>
      <c r="N12" t="e">
        <f>SQRT((INDEX(#REF!,$B12+1,1)-INDEX(#REF!,N$1+1,1))^2+(INDEX(#REF!,$B12+1,2)-INDEX(#REF!,N$1+1,2))^2)</f>
        <v>#REF!</v>
      </c>
      <c r="O12" t="e">
        <f>SQRT((INDEX(#REF!,$B12+1,1)-INDEX(#REF!,O$1+1,1))^2+(INDEX(#REF!,$B12+1,2)-INDEX(#REF!,O$1+1,2))^2)</f>
        <v>#REF!</v>
      </c>
      <c r="P12" t="e">
        <f>SQRT((INDEX(#REF!,$B12+1,1)-INDEX(#REF!,P$1+1,1))^2+(INDEX(#REF!,$B12+1,2)-INDEX(#REF!,P$1+1,2))^2)</f>
        <v>#REF!</v>
      </c>
      <c r="Q12" t="e">
        <f>SQRT((INDEX(#REF!,$B12+1,1)-INDEX(#REF!,Q$1+1,1))^2+(INDEX(#REF!,$B12+1,2)-INDEX(#REF!,Q$1+1,2))^2)</f>
        <v>#REF!</v>
      </c>
      <c r="R12" t="e">
        <f>SQRT((INDEX(#REF!,$B12+1,1)-INDEX(#REF!,R$1+1,1))^2+(INDEX(#REF!,$B12+1,2)-INDEX(#REF!,R$1+1,2))^2)</f>
        <v>#REF!</v>
      </c>
      <c r="S12" s="2" t="e">
        <f>SQRT((INDEX(#REF!,$B12+1,1)-INDEX(#REF!,S$1+1,1))^2+(INDEX(#REF!,$B12+1,2)-INDEX(#REF!,S$1+1,2))^2)</f>
        <v>#REF!</v>
      </c>
      <c r="T12" t="e">
        <f>SQRT((INDEX(#REF!,$B12+1,1)-INDEX(#REF!,T$1+1,1))^2+(INDEX(#REF!,$B12+1,2)-INDEX(#REF!,T$1+1,2))^2)</f>
        <v>#REF!</v>
      </c>
      <c r="U12" t="e">
        <f>SQRT((INDEX(#REF!,$B12+1,1)-INDEX(#REF!,U$1+1,1))^2+(INDEX(#REF!,$B12+1,2)-INDEX(#REF!,U$1+1,2))^2)</f>
        <v>#REF!</v>
      </c>
      <c r="V12" t="e">
        <f>SQRT((INDEX(#REF!,$B12+1,1)-INDEX(#REF!,V$1+1,1))^2+(INDEX(#REF!,$B12+1,2)-INDEX(#REF!,V$1+1,2))^2)</f>
        <v>#REF!</v>
      </c>
      <c r="W12" t="e">
        <f>SQRT((INDEX(#REF!,$B12+1,1)-INDEX(#REF!,W$1+1,1))^2+(INDEX(#REF!,$B12+1,2)-INDEX(#REF!,W$1+1,2))^2)</f>
        <v>#REF!</v>
      </c>
      <c r="X12" t="e">
        <f>SQRT((INDEX(#REF!,$B12+1,1)-INDEX(#REF!,X$1+1,1))^2+(INDEX(#REF!,$B12+1,2)-INDEX(#REF!,X$1+1,2))^2)</f>
        <v>#REF!</v>
      </c>
      <c r="Y12" t="e">
        <f>SQRT((INDEX(#REF!,$B12+1,1)-INDEX(#REF!,Y$1+1,1))^2+(INDEX(#REF!,$B12+1,2)-INDEX(#REF!,Y$1+1,2))^2)</f>
        <v>#REF!</v>
      </c>
      <c r="Z12" t="e">
        <f>SQRT((INDEX(#REF!,$B12+1,1)-INDEX(#REF!,Z$1+1,1))^2+(INDEX(#REF!,$B12+1,2)-INDEX(#REF!,Z$1+1,2))^2)</f>
        <v>#REF!</v>
      </c>
      <c r="AA12" t="e">
        <f>SQRT((INDEX(#REF!,$B12+1,1)-INDEX(#REF!,AA$1+1,1))^2+(INDEX(#REF!,$B12+1,2)-INDEX(#REF!,AA$1+1,2))^2)</f>
        <v>#REF!</v>
      </c>
      <c r="AB12" t="e">
        <f>SQRT((INDEX(#REF!,$B12+1,1)-INDEX(#REF!,AB$1+1,1))^2+(INDEX(#REF!,$B12+1,2)-INDEX(#REF!,AB$1+1,2))^2)</f>
        <v>#REF!</v>
      </c>
    </row>
    <row r="13" spans="2:28" x14ac:dyDescent="0.25">
      <c r="B13">
        <v>11</v>
      </c>
      <c r="C13" t="e">
        <f>SQRT((INDEX(#REF!,$B13+1,1)-INDEX(#REF!,C$1+1,1))^2+(INDEX(#REF!,$B13+1,2)-INDEX(#REF!,C$1+1,2))^2)</f>
        <v>#REF!</v>
      </c>
      <c r="D13" t="e">
        <f>SQRT((INDEX(#REF!,$B13+1,1)-INDEX(#REF!,D$1+1,1))^2+(INDEX(#REF!,$B13+1,2)-INDEX(#REF!,D$1+1,2))^2)</f>
        <v>#REF!</v>
      </c>
      <c r="E13" t="e">
        <f>SQRT((INDEX(#REF!,$B13+1,1)-INDEX(#REF!,E$1+1,1))^2+(INDEX(#REF!,$B13+1,2)-INDEX(#REF!,E$1+1,2))^2)</f>
        <v>#REF!</v>
      </c>
      <c r="F13" t="e">
        <f>SQRT((INDEX(#REF!,$B13+1,1)-INDEX(#REF!,F$1+1,1))^2+(INDEX(#REF!,$B13+1,2)-INDEX(#REF!,F$1+1,2))^2)</f>
        <v>#REF!</v>
      </c>
      <c r="G13" t="e">
        <f>SQRT((INDEX(#REF!,$B13+1,1)-INDEX(#REF!,G$1+1,1))^2+(INDEX(#REF!,$B13+1,2)-INDEX(#REF!,G$1+1,2))^2)</f>
        <v>#REF!</v>
      </c>
      <c r="H13" t="e">
        <f>SQRT((INDEX(#REF!,$B13+1,1)-INDEX(#REF!,H$1+1,1))^2+(INDEX(#REF!,$B13+1,2)-INDEX(#REF!,H$1+1,2))^2)</f>
        <v>#REF!</v>
      </c>
      <c r="I13" t="e">
        <f>SQRT((INDEX(#REF!,$B13+1,1)-INDEX(#REF!,I$1+1,1))^2+(INDEX(#REF!,$B13+1,2)-INDEX(#REF!,I$1+1,2))^2)</f>
        <v>#REF!</v>
      </c>
      <c r="J13" t="e">
        <f>SQRT((INDEX(#REF!,$B13+1,1)-INDEX(#REF!,J$1+1,1))^2+(INDEX(#REF!,$B13+1,2)-INDEX(#REF!,J$1+1,2))^2)</f>
        <v>#REF!</v>
      </c>
      <c r="K13" t="e">
        <f>SQRT((INDEX(#REF!,$B13+1,1)-INDEX(#REF!,K$1+1,1))^2+(INDEX(#REF!,$B13+1,2)-INDEX(#REF!,K$1+1,2))^2)</f>
        <v>#REF!</v>
      </c>
      <c r="L13" t="e">
        <f>SQRT((INDEX(#REF!,$B13+1,1)-INDEX(#REF!,L$1+1,1))^2+(INDEX(#REF!,$B13+1,2)-INDEX(#REF!,L$1+1,2))^2)</f>
        <v>#REF!</v>
      </c>
      <c r="M13" t="e">
        <f>SQRT((INDEX(#REF!,$B13+1,1)-INDEX(#REF!,M$1+1,1))^2+(INDEX(#REF!,$B13+1,2)-INDEX(#REF!,M$1+1,2))^2)</f>
        <v>#REF!</v>
      </c>
      <c r="N13" t="e">
        <f>SQRT((INDEX(#REF!,$B13+1,1)-INDEX(#REF!,N$1+1,1))^2+(INDEX(#REF!,$B13+1,2)-INDEX(#REF!,N$1+1,2))^2)</f>
        <v>#REF!</v>
      </c>
      <c r="O13" t="e">
        <f>SQRT((INDEX(#REF!,$B13+1,1)-INDEX(#REF!,O$1+1,1))^2+(INDEX(#REF!,$B13+1,2)-INDEX(#REF!,O$1+1,2))^2)</f>
        <v>#REF!</v>
      </c>
      <c r="P13" t="e">
        <f>SQRT((INDEX(#REF!,$B13+1,1)-INDEX(#REF!,P$1+1,1))^2+(INDEX(#REF!,$B13+1,2)-INDEX(#REF!,P$1+1,2))^2)</f>
        <v>#REF!</v>
      </c>
      <c r="Q13" t="e">
        <f>SQRT((INDEX(#REF!,$B13+1,1)-INDEX(#REF!,Q$1+1,1))^2+(INDEX(#REF!,$B13+1,2)-INDEX(#REF!,Q$1+1,2))^2)</f>
        <v>#REF!</v>
      </c>
      <c r="R13" t="e">
        <f>SQRT((INDEX(#REF!,$B13+1,1)-INDEX(#REF!,R$1+1,1))^2+(INDEX(#REF!,$B13+1,2)-INDEX(#REF!,R$1+1,2))^2)</f>
        <v>#REF!</v>
      </c>
      <c r="S13" s="2" t="e">
        <f>SQRT((INDEX(#REF!,$B13+1,1)-INDEX(#REF!,S$1+1,1))^2+(INDEX(#REF!,$B13+1,2)-INDEX(#REF!,S$1+1,2))^2)</f>
        <v>#REF!</v>
      </c>
      <c r="T13" t="e">
        <f>SQRT((INDEX(#REF!,$B13+1,1)-INDEX(#REF!,T$1+1,1))^2+(INDEX(#REF!,$B13+1,2)-INDEX(#REF!,T$1+1,2))^2)</f>
        <v>#REF!</v>
      </c>
      <c r="U13" t="e">
        <f>SQRT((INDEX(#REF!,$B13+1,1)-INDEX(#REF!,U$1+1,1))^2+(INDEX(#REF!,$B13+1,2)-INDEX(#REF!,U$1+1,2))^2)</f>
        <v>#REF!</v>
      </c>
      <c r="V13" t="e">
        <f>SQRT((INDEX(#REF!,$B13+1,1)-INDEX(#REF!,V$1+1,1))^2+(INDEX(#REF!,$B13+1,2)-INDEX(#REF!,V$1+1,2))^2)</f>
        <v>#REF!</v>
      </c>
      <c r="W13" t="e">
        <f>SQRT((INDEX(#REF!,$B13+1,1)-INDEX(#REF!,W$1+1,1))^2+(INDEX(#REF!,$B13+1,2)-INDEX(#REF!,W$1+1,2))^2)</f>
        <v>#REF!</v>
      </c>
      <c r="X13" t="e">
        <f>SQRT((INDEX(#REF!,$B13+1,1)-INDEX(#REF!,X$1+1,1))^2+(INDEX(#REF!,$B13+1,2)-INDEX(#REF!,X$1+1,2))^2)</f>
        <v>#REF!</v>
      </c>
      <c r="Y13" t="e">
        <f>SQRT((INDEX(#REF!,$B13+1,1)-INDEX(#REF!,Y$1+1,1))^2+(INDEX(#REF!,$B13+1,2)-INDEX(#REF!,Y$1+1,2))^2)</f>
        <v>#REF!</v>
      </c>
      <c r="Z13" t="e">
        <f>SQRT((INDEX(#REF!,$B13+1,1)-INDEX(#REF!,Z$1+1,1))^2+(INDEX(#REF!,$B13+1,2)-INDEX(#REF!,Z$1+1,2))^2)</f>
        <v>#REF!</v>
      </c>
      <c r="AA13" t="e">
        <f>SQRT((INDEX(#REF!,$B13+1,1)-INDEX(#REF!,AA$1+1,1))^2+(INDEX(#REF!,$B13+1,2)-INDEX(#REF!,AA$1+1,2))^2)</f>
        <v>#REF!</v>
      </c>
      <c r="AB13" t="e">
        <f>SQRT((INDEX(#REF!,$B13+1,1)-INDEX(#REF!,AB$1+1,1))^2+(INDEX(#REF!,$B13+1,2)-INDEX(#REF!,AB$1+1,2))^2)</f>
        <v>#REF!</v>
      </c>
    </row>
    <row r="14" spans="2:28" x14ac:dyDescent="0.25">
      <c r="B14">
        <v>12</v>
      </c>
      <c r="C14" t="e">
        <f>SQRT((INDEX(#REF!,$B14+1,1)-INDEX(#REF!,C$1+1,1))^2+(INDEX(#REF!,$B14+1,2)-INDEX(#REF!,C$1+1,2))^2)</f>
        <v>#REF!</v>
      </c>
      <c r="D14" t="e">
        <f>SQRT((INDEX(#REF!,$B14+1,1)-INDEX(#REF!,D$1+1,1))^2+(INDEX(#REF!,$B14+1,2)-INDEX(#REF!,D$1+1,2))^2)</f>
        <v>#REF!</v>
      </c>
      <c r="E14" t="e">
        <f>SQRT((INDEX(#REF!,$B14+1,1)-INDEX(#REF!,E$1+1,1))^2+(INDEX(#REF!,$B14+1,2)-INDEX(#REF!,E$1+1,2))^2)</f>
        <v>#REF!</v>
      </c>
      <c r="F14" t="e">
        <f>SQRT((INDEX(#REF!,$B14+1,1)-INDEX(#REF!,F$1+1,1))^2+(INDEX(#REF!,$B14+1,2)-INDEX(#REF!,F$1+1,2))^2)</f>
        <v>#REF!</v>
      </c>
      <c r="G14" t="e">
        <f>SQRT((INDEX(#REF!,$B14+1,1)-INDEX(#REF!,G$1+1,1))^2+(INDEX(#REF!,$B14+1,2)-INDEX(#REF!,G$1+1,2))^2)</f>
        <v>#REF!</v>
      </c>
      <c r="H14" t="e">
        <f>SQRT((INDEX(#REF!,$B14+1,1)-INDEX(#REF!,H$1+1,1))^2+(INDEX(#REF!,$B14+1,2)-INDEX(#REF!,H$1+1,2))^2)</f>
        <v>#REF!</v>
      </c>
      <c r="I14" t="e">
        <f>SQRT((INDEX(#REF!,$B14+1,1)-INDEX(#REF!,I$1+1,1))^2+(INDEX(#REF!,$B14+1,2)-INDEX(#REF!,I$1+1,2))^2)</f>
        <v>#REF!</v>
      </c>
      <c r="J14" t="e">
        <f>SQRT((INDEX(#REF!,$B14+1,1)-INDEX(#REF!,J$1+1,1))^2+(INDEX(#REF!,$B14+1,2)-INDEX(#REF!,J$1+1,2))^2)</f>
        <v>#REF!</v>
      </c>
      <c r="K14" t="e">
        <f>SQRT((INDEX(#REF!,$B14+1,1)-INDEX(#REF!,K$1+1,1))^2+(INDEX(#REF!,$B14+1,2)-INDEX(#REF!,K$1+1,2))^2)</f>
        <v>#REF!</v>
      </c>
      <c r="L14" t="e">
        <f>SQRT((INDEX(#REF!,$B14+1,1)-INDEX(#REF!,L$1+1,1))^2+(INDEX(#REF!,$B14+1,2)-INDEX(#REF!,L$1+1,2))^2)</f>
        <v>#REF!</v>
      </c>
      <c r="M14" t="e">
        <f>SQRT((INDEX(#REF!,$B14+1,1)-INDEX(#REF!,M$1+1,1))^2+(INDEX(#REF!,$B14+1,2)-INDEX(#REF!,M$1+1,2))^2)</f>
        <v>#REF!</v>
      </c>
      <c r="N14" t="e">
        <f>SQRT((INDEX(#REF!,$B14+1,1)-INDEX(#REF!,N$1+1,1))^2+(INDEX(#REF!,$B14+1,2)-INDEX(#REF!,N$1+1,2))^2)</f>
        <v>#REF!</v>
      </c>
      <c r="O14" t="e">
        <f>SQRT((INDEX(#REF!,$B14+1,1)-INDEX(#REF!,O$1+1,1))^2+(INDEX(#REF!,$B14+1,2)-INDEX(#REF!,O$1+1,2))^2)</f>
        <v>#REF!</v>
      </c>
      <c r="P14" t="e">
        <f>SQRT((INDEX(#REF!,$B14+1,1)-INDEX(#REF!,P$1+1,1))^2+(INDEX(#REF!,$B14+1,2)-INDEX(#REF!,P$1+1,2))^2)</f>
        <v>#REF!</v>
      </c>
      <c r="Q14" t="e">
        <f>SQRT((INDEX(#REF!,$B14+1,1)-INDEX(#REF!,Q$1+1,1))^2+(INDEX(#REF!,$B14+1,2)-INDEX(#REF!,Q$1+1,2))^2)</f>
        <v>#REF!</v>
      </c>
      <c r="R14" t="e">
        <f>SQRT((INDEX(#REF!,$B14+1,1)-INDEX(#REF!,R$1+1,1))^2+(INDEX(#REF!,$B14+1,2)-INDEX(#REF!,R$1+1,2))^2)</f>
        <v>#REF!</v>
      </c>
      <c r="S14" s="2" t="e">
        <f>SQRT((INDEX(#REF!,$B14+1,1)-INDEX(#REF!,S$1+1,1))^2+(INDEX(#REF!,$B14+1,2)-INDEX(#REF!,S$1+1,2))^2)</f>
        <v>#REF!</v>
      </c>
      <c r="T14" t="e">
        <f>SQRT((INDEX(#REF!,$B14+1,1)-INDEX(#REF!,T$1+1,1))^2+(INDEX(#REF!,$B14+1,2)-INDEX(#REF!,T$1+1,2))^2)</f>
        <v>#REF!</v>
      </c>
      <c r="U14" t="e">
        <f>SQRT((INDEX(#REF!,$B14+1,1)-INDEX(#REF!,U$1+1,1))^2+(INDEX(#REF!,$B14+1,2)-INDEX(#REF!,U$1+1,2))^2)</f>
        <v>#REF!</v>
      </c>
      <c r="V14" t="e">
        <f>SQRT((INDEX(#REF!,$B14+1,1)-INDEX(#REF!,V$1+1,1))^2+(INDEX(#REF!,$B14+1,2)-INDEX(#REF!,V$1+1,2))^2)</f>
        <v>#REF!</v>
      </c>
      <c r="W14" t="e">
        <f>SQRT((INDEX(#REF!,$B14+1,1)-INDEX(#REF!,W$1+1,1))^2+(INDEX(#REF!,$B14+1,2)-INDEX(#REF!,W$1+1,2))^2)</f>
        <v>#REF!</v>
      </c>
      <c r="X14" t="e">
        <f>SQRT((INDEX(#REF!,$B14+1,1)-INDEX(#REF!,X$1+1,1))^2+(INDEX(#REF!,$B14+1,2)-INDEX(#REF!,X$1+1,2))^2)</f>
        <v>#REF!</v>
      </c>
      <c r="Y14" t="e">
        <f>SQRT((INDEX(#REF!,$B14+1,1)-INDEX(#REF!,Y$1+1,1))^2+(INDEX(#REF!,$B14+1,2)-INDEX(#REF!,Y$1+1,2))^2)</f>
        <v>#REF!</v>
      </c>
      <c r="Z14" t="e">
        <f>SQRT((INDEX(#REF!,$B14+1,1)-INDEX(#REF!,Z$1+1,1))^2+(INDEX(#REF!,$B14+1,2)-INDEX(#REF!,Z$1+1,2))^2)</f>
        <v>#REF!</v>
      </c>
      <c r="AA14" t="e">
        <f>SQRT((INDEX(#REF!,$B14+1,1)-INDEX(#REF!,AA$1+1,1))^2+(INDEX(#REF!,$B14+1,2)-INDEX(#REF!,AA$1+1,2))^2)</f>
        <v>#REF!</v>
      </c>
      <c r="AB14" t="e">
        <f>SQRT((INDEX(#REF!,$B14+1,1)-INDEX(#REF!,AB$1+1,1))^2+(INDEX(#REF!,$B14+1,2)-INDEX(#REF!,AB$1+1,2))^2)</f>
        <v>#REF!</v>
      </c>
    </row>
    <row r="15" spans="2:28" x14ac:dyDescent="0.25">
      <c r="B15">
        <v>13</v>
      </c>
      <c r="C15" t="e">
        <f>SQRT((INDEX(#REF!,$B15+1,1)-INDEX(#REF!,C$1+1,1))^2+(INDEX(#REF!,$B15+1,2)-INDEX(#REF!,C$1+1,2))^2)</f>
        <v>#REF!</v>
      </c>
      <c r="D15" t="e">
        <f>SQRT((INDEX(#REF!,$B15+1,1)-INDEX(#REF!,D$1+1,1))^2+(INDEX(#REF!,$B15+1,2)-INDEX(#REF!,D$1+1,2))^2)</f>
        <v>#REF!</v>
      </c>
      <c r="E15" t="e">
        <f>SQRT((INDEX(#REF!,$B15+1,1)-INDEX(#REF!,E$1+1,1))^2+(INDEX(#REF!,$B15+1,2)-INDEX(#REF!,E$1+1,2))^2)</f>
        <v>#REF!</v>
      </c>
      <c r="F15" t="e">
        <f>SQRT((INDEX(#REF!,$B15+1,1)-INDEX(#REF!,F$1+1,1))^2+(INDEX(#REF!,$B15+1,2)-INDEX(#REF!,F$1+1,2))^2)</f>
        <v>#REF!</v>
      </c>
      <c r="G15" t="e">
        <f>SQRT((INDEX(#REF!,$B15+1,1)-INDEX(#REF!,G$1+1,1))^2+(INDEX(#REF!,$B15+1,2)-INDEX(#REF!,G$1+1,2))^2)</f>
        <v>#REF!</v>
      </c>
      <c r="H15" t="e">
        <f>SQRT((INDEX(#REF!,$B15+1,1)-INDEX(#REF!,H$1+1,1))^2+(INDEX(#REF!,$B15+1,2)-INDEX(#REF!,H$1+1,2))^2)</f>
        <v>#REF!</v>
      </c>
      <c r="I15" t="e">
        <f>SQRT((INDEX(#REF!,$B15+1,1)-INDEX(#REF!,I$1+1,1))^2+(INDEX(#REF!,$B15+1,2)-INDEX(#REF!,I$1+1,2))^2)</f>
        <v>#REF!</v>
      </c>
      <c r="J15" t="e">
        <f>SQRT((INDEX(#REF!,$B15+1,1)-INDEX(#REF!,J$1+1,1))^2+(INDEX(#REF!,$B15+1,2)-INDEX(#REF!,J$1+1,2))^2)</f>
        <v>#REF!</v>
      </c>
      <c r="K15" t="e">
        <f>SQRT((INDEX(#REF!,$B15+1,1)-INDEX(#REF!,K$1+1,1))^2+(INDEX(#REF!,$B15+1,2)-INDEX(#REF!,K$1+1,2))^2)</f>
        <v>#REF!</v>
      </c>
      <c r="L15" t="e">
        <f>SQRT((INDEX(#REF!,$B15+1,1)-INDEX(#REF!,L$1+1,1))^2+(INDEX(#REF!,$B15+1,2)-INDEX(#REF!,L$1+1,2))^2)</f>
        <v>#REF!</v>
      </c>
      <c r="M15" t="e">
        <f>SQRT((INDEX(#REF!,$B15+1,1)-INDEX(#REF!,M$1+1,1))^2+(INDEX(#REF!,$B15+1,2)-INDEX(#REF!,M$1+1,2))^2)</f>
        <v>#REF!</v>
      </c>
      <c r="N15" t="e">
        <f>SQRT((INDEX(#REF!,$B15+1,1)-INDEX(#REF!,N$1+1,1))^2+(INDEX(#REF!,$B15+1,2)-INDEX(#REF!,N$1+1,2))^2)</f>
        <v>#REF!</v>
      </c>
      <c r="O15" t="e">
        <f>SQRT((INDEX(#REF!,$B15+1,1)-INDEX(#REF!,O$1+1,1))^2+(INDEX(#REF!,$B15+1,2)-INDEX(#REF!,O$1+1,2))^2)</f>
        <v>#REF!</v>
      </c>
      <c r="P15" t="e">
        <f>SQRT((INDEX(#REF!,$B15+1,1)-INDEX(#REF!,P$1+1,1))^2+(INDEX(#REF!,$B15+1,2)-INDEX(#REF!,P$1+1,2))^2)</f>
        <v>#REF!</v>
      </c>
      <c r="Q15" t="e">
        <f>SQRT((INDEX(#REF!,$B15+1,1)-INDEX(#REF!,Q$1+1,1))^2+(INDEX(#REF!,$B15+1,2)-INDEX(#REF!,Q$1+1,2))^2)</f>
        <v>#REF!</v>
      </c>
      <c r="R15" t="e">
        <f>SQRT((INDEX(#REF!,$B15+1,1)-INDEX(#REF!,R$1+1,1))^2+(INDEX(#REF!,$B15+1,2)-INDEX(#REF!,R$1+1,2))^2)</f>
        <v>#REF!</v>
      </c>
      <c r="S15" s="2" t="e">
        <f>SQRT((INDEX(#REF!,$B15+1,1)-INDEX(#REF!,S$1+1,1))^2+(INDEX(#REF!,$B15+1,2)-INDEX(#REF!,S$1+1,2))^2)</f>
        <v>#REF!</v>
      </c>
      <c r="T15" t="e">
        <f>SQRT((INDEX(#REF!,$B15+1,1)-INDEX(#REF!,T$1+1,1))^2+(INDEX(#REF!,$B15+1,2)-INDEX(#REF!,T$1+1,2))^2)</f>
        <v>#REF!</v>
      </c>
      <c r="U15" t="e">
        <f>SQRT((INDEX(#REF!,$B15+1,1)-INDEX(#REF!,U$1+1,1))^2+(INDEX(#REF!,$B15+1,2)-INDEX(#REF!,U$1+1,2))^2)</f>
        <v>#REF!</v>
      </c>
      <c r="V15" t="e">
        <f>SQRT((INDEX(#REF!,$B15+1,1)-INDEX(#REF!,V$1+1,1))^2+(INDEX(#REF!,$B15+1,2)-INDEX(#REF!,V$1+1,2))^2)</f>
        <v>#REF!</v>
      </c>
      <c r="W15" t="e">
        <f>SQRT((INDEX(#REF!,$B15+1,1)-INDEX(#REF!,W$1+1,1))^2+(INDEX(#REF!,$B15+1,2)-INDEX(#REF!,W$1+1,2))^2)</f>
        <v>#REF!</v>
      </c>
      <c r="X15" t="e">
        <f>SQRT((INDEX(#REF!,$B15+1,1)-INDEX(#REF!,X$1+1,1))^2+(INDEX(#REF!,$B15+1,2)-INDEX(#REF!,X$1+1,2))^2)</f>
        <v>#REF!</v>
      </c>
      <c r="Y15" t="e">
        <f>SQRT((INDEX(#REF!,$B15+1,1)-INDEX(#REF!,Y$1+1,1))^2+(INDEX(#REF!,$B15+1,2)-INDEX(#REF!,Y$1+1,2))^2)</f>
        <v>#REF!</v>
      </c>
      <c r="Z15" t="e">
        <f>SQRT((INDEX(#REF!,$B15+1,1)-INDEX(#REF!,Z$1+1,1))^2+(INDEX(#REF!,$B15+1,2)-INDEX(#REF!,Z$1+1,2))^2)</f>
        <v>#REF!</v>
      </c>
      <c r="AA15" t="e">
        <f>SQRT((INDEX(#REF!,$B15+1,1)-INDEX(#REF!,AA$1+1,1))^2+(INDEX(#REF!,$B15+1,2)-INDEX(#REF!,AA$1+1,2))^2)</f>
        <v>#REF!</v>
      </c>
      <c r="AB15" t="e">
        <f>SQRT((INDEX(#REF!,$B15+1,1)-INDEX(#REF!,AB$1+1,1))^2+(INDEX(#REF!,$B15+1,2)-INDEX(#REF!,AB$1+1,2))^2)</f>
        <v>#REF!</v>
      </c>
    </row>
    <row r="16" spans="2:28" x14ac:dyDescent="0.25">
      <c r="B16">
        <v>14</v>
      </c>
      <c r="C16" t="e">
        <f>SQRT((INDEX(#REF!,$B16+1,1)-INDEX(#REF!,C$1+1,1))^2+(INDEX(#REF!,$B16+1,2)-INDEX(#REF!,C$1+1,2))^2)</f>
        <v>#REF!</v>
      </c>
      <c r="D16" t="e">
        <f>SQRT((INDEX(#REF!,$B16+1,1)-INDEX(#REF!,D$1+1,1))^2+(INDEX(#REF!,$B16+1,2)-INDEX(#REF!,D$1+1,2))^2)</f>
        <v>#REF!</v>
      </c>
      <c r="E16" t="e">
        <f>SQRT((INDEX(#REF!,$B16+1,1)-INDEX(#REF!,E$1+1,1))^2+(INDEX(#REF!,$B16+1,2)-INDEX(#REF!,E$1+1,2))^2)</f>
        <v>#REF!</v>
      </c>
      <c r="F16" t="e">
        <f>SQRT((INDEX(#REF!,$B16+1,1)-INDEX(#REF!,F$1+1,1))^2+(INDEX(#REF!,$B16+1,2)-INDEX(#REF!,F$1+1,2))^2)</f>
        <v>#REF!</v>
      </c>
      <c r="G16" t="e">
        <f>SQRT((INDEX(#REF!,$B16+1,1)-INDEX(#REF!,G$1+1,1))^2+(INDEX(#REF!,$B16+1,2)-INDEX(#REF!,G$1+1,2))^2)</f>
        <v>#REF!</v>
      </c>
      <c r="H16" t="e">
        <f>SQRT((INDEX(#REF!,$B16+1,1)-INDEX(#REF!,H$1+1,1))^2+(INDEX(#REF!,$B16+1,2)-INDEX(#REF!,H$1+1,2))^2)</f>
        <v>#REF!</v>
      </c>
      <c r="I16" t="e">
        <f>SQRT((INDEX(#REF!,$B16+1,1)-INDEX(#REF!,I$1+1,1))^2+(INDEX(#REF!,$B16+1,2)-INDEX(#REF!,I$1+1,2))^2)</f>
        <v>#REF!</v>
      </c>
      <c r="J16" t="e">
        <f>SQRT((INDEX(#REF!,$B16+1,1)-INDEX(#REF!,J$1+1,1))^2+(INDEX(#REF!,$B16+1,2)-INDEX(#REF!,J$1+1,2))^2)</f>
        <v>#REF!</v>
      </c>
      <c r="K16" t="e">
        <f>SQRT((INDEX(#REF!,$B16+1,1)-INDEX(#REF!,K$1+1,1))^2+(INDEX(#REF!,$B16+1,2)-INDEX(#REF!,K$1+1,2))^2)</f>
        <v>#REF!</v>
      </c>
      <c r="L16" t="e">
        <f>SQRT((INDEX(#REF!,$B16+1,1)-INDEX(#REF!,L$1+1,1))^2+(INDEX(#REF!,$B16+1,2)-INDEX(#REF!,L$1+1,2))^2)</f>
        <v>#REF!</v>
      </c>
      <c r="M16" t="e">
        <f>SQRT((INDEX(#REF!,$B16+1,1)-INDEX(#REF!,M$1+1,1))^2+(INDEX(#REF!,$B16+1,2)-INDEX(#REF!,M$1+1,2))^2)</f>
        <v>#REF!</v>
      </c>
      <c r="N16" t="e">
        <f>SQRT((INDEX(#REF!,$B16+1,1)-INDEX(#REF!,N$1+1,1))^2+(INDEX(#REF!,$B16+1,2)-INDEX(#REF!,N$1+1,2))^2)</f>
        <v>#REF!</v>
      </c>
      <c r="O16" t="e">
        <f>SQRT((INDEX(#REF!,$B16+1,1)-INDEX(#REF!,O$1+1,1))^2+(INDEX(#REF!,$B16+1,2)-INDEX(#REF!,O$1+1,2))^2)</f>
        <v>#REF!</v>
      </c>
      <c r="P16" t="e">
        <f>SQRT((INDEX(#REF!,$B16+1,1)-INDEX(#REF!,P$1+1,1))^2+(INDEX(#REF!,$B16+1,2)-INDEX(#REF!,P$1+1,2))^2)</f>
        <v>#REF!</v>
      </c>
      <c r="Q16" t="e">
        <f>SQRT((INDEX(#REF!,$B16+1,1)-INDEX(#REF!,Q$1+1,1))^2+(INDEX(#REF!,$B16+1,2)-INDEX(#REF!,Q$1+1,2))^2)</f>
        <v>#REF!</v>
      </c>
      <c r="R16" t="e">
        <f>SQRT((INDEX(#REF!,$B16+1,1)-INDEX(#REF!,R$1+1,1))^2+(INDEX(#REF!,$B16+1,2)-INDEX(#REF!,R$1+1,2))^2)</f>
        <v>#REF!</v>
      </c>
      <c r="S16" s="2" t="e">
        <f>SQRT((INDEX(#REF!,$B16+1,1)-INDEX(#REF!,S$1+1,1))^2+(INDEX(#REF!,$B16+1,2)-INDEX(#REF!,S$1+1,2))^2)</f>
        <v>#REF!</v>
      </c>
      <c r="T16" t="e">
        <f>SQRT((INDEX(#REF!,$B16+1,1)-INDEX(#REF!,T$1+1,1))^2+(INDEX(#REF!,$B16+1,2)-INDEX(#REF!,T$1+1,2))^2)</f>
        <v>#REF!</v>
      </c>
      <c r="U16" t="e">
        <f>SQRT((INDEX(#REF!,$B16+1,1)-INDEX(#REF!,U$1+1,1))^2+(INDEX(#REF!,$B16+1,2)-INDEX(#REF!,U$1+1,2))^2)</f>
        <v>#REF!</v>
      </c>
      <c r="V16" t="e">
        <f>SQRT((INDEX(#REF!,$B16+1,1)-INDEX(#REF!,V$1+1,1))^2+(INDEX(#REF!,$B16+1,2)-INDEX(#REF!,V$1+1,2))^2)</f>
        <v>#REF!</v>
      </c>
      <c r="W16" t="e">
        <f>SQRT((INDEX(#REF!,$B16+1,1)-INDEX(#REF!,W$1+1,1))^2+(INDEX(#REF!,$B16+1,2)-INDEX(#REF!,W$1+1,2))^2)</f>
        <v>#REF!</v>
      </c>
      <c r="X16" t="e">
        <f>SQRT((INDEX(#REF!,$B16+1,1)-INDEX(#REF!,X$1+1,1))^2+(INDEX(#REF!,$B16+1,2)-INDEX(#REF!,X$1+1,2))^2)</f>
        <v>#REF!</v>
      </c>
      <c r="Y16" t="e">
        <f>SQRT((INDEX(#REF!,$B16+1,1)-INDEX(#REF!,Y$1+1,1))^2+(INDEX(#REF!,$B16+1,2)-INDEX(#REF!,Y$1+1,2))^2)</f>
        <v>#REF!</v>
      </c>
      <c r="Z16" t="e">
        <f>SQRT((INDEX(#REF!,$B16+1,1)-INDEX(#REF!,Z$1+1,1))^2+(INDEX(#REF!,$B16+1,2)-INDEX(#REF!,Z$1+1,2))^2)</f>
        <v>#REF!</v>
      </c>
      <c r="AA16" t="e">
        <f>SQRT((INDEX(#REF!,$B16+1,1)-INDEX(#REF!,AA$1+1,1))^2+(INDEX(#REF!,$B16+1,2)-INDEX(#REF!,AA$1+1,2))^2)</f>
        <v>#REF!</v>
      </c>
      <c r="AB16" t="e">
        <f>SQRT((INDEX(#REF!,$B16+1,1)-INDEX(#REF!,AB$1+1,1))^2+(INDEX(#REF!,$B16+1,2)-INDEX(#REF!,AB$1+1,2))^2)</f>
        <v>#REF!</v>
      </c>
    </row>
    <row r="17" spans="2:28" x14ac:dyDescent="0.25">
      <c r="B17">
        <v>15</v>
      </c>
      <c r="C17" t="e">
        <f>SQRT((INDEX(#REF!,$B17+1,1)-INDEX(#REF!,C$1+1,1))^2+(INDEX(#REF!,$B17+1,2)-INDEX(#REF!,C$1+1,2))^2)</f>
        <v>#REF!</v>
      </c>
      <c r="D17" t="e">
        <f>SQRT((INDEX(#REF!,$B17+1,1)-INDEX(#REF!,D$1+1,1))^2+(INDEX(#REF!,$B17+1,2)-INDEX(#REF!,D$1+1,2))^2)</f>
        <v>#REF!</v>
      </c>
      <c r="E17" t="e">
        <f>SQRT((INDEX(#REF!,$B17+1,1)-INDEX(#REF!,E$1+1,1))^2+(INDEX(#REF!,$B17+1,2)-INDEX(#REF!,E$1+1,2))^2)</f>
        <v>#REF!</v>
      </c>
      <c r="F17" t="e">
        <f>SQRT((INDEX(#REF!,$B17+1,1)-INDEX(#REF!,F$1+1,1))^2+(INDEX(#REF!,$B17+1,2)-INDEX(#REF!,F$1+1,2))^2)</f>
        <v>#REF!</v>
      </c>
      <c r="G17" t="e">
        <f>SQRT((INDEX(#REF!,$B17+1,1)-INDEX(#REF!,G$1+1,1))^2+(INDEX(#REF!,$B17+1,2)-INDEX(#REF!,G$1+1,2))^2)</f>
        <v>#REF!</v>
      </c>
      <c r="H17" t="e">
        <f>SQRT((INDEX(#REF!,$B17+1,1)-INDEX(#REF!,H$1+1,1))^2+(INDEX(#REF!,$B17+1,2)-INDEX(#REF!,H$1+1,2))^2)</f>
        <v>#REF!</v>
      </c>
      <c r="I17" t="e">
        <f>SQRT((INDEX(#REF!,$B17+1,1)-INDEX(#REF!,I$1+1,1))^2+(INDEX(#REF!,$B17+1,2)-INDEX(#REF!,I$1+1,2))^2)</f>
        <v>#REF!</v>
      </c>
      <c r="J17" t="e">
        <f>SQRT((INDEX(#REF!,$B17+1,1)-INDEX(#REF!,J$1+1,1))^2+(INDEX(#REF!,$B17+1,2)-INDEX(#REF!,J$1+1,2))^2)</f>
        <v>#REF!</v>
      </c>
      <c r="K17" t="e">
        <f>SQRT((INDEX(#REF!,$B17+1,1)-INDEX(#REF!,K$1+1,1))^2+(INDEX(#REF!,$B17+1,2)-INDEX(#REF!,K$1+1,2))^2)</f>
        <v>#REF!</v>
      </c>
      <c r="L17" t="e">
        <f>SQRT((INDEX(#REF!,$B17+1,1)-INDEX(#REF!,L$1+1,1))^2+(INDEX(#REF!,$B17+1,2)-INDEX(#REF!,L$1+1,2))^2)</f>
        <v>#REF!</v>
      </c>
      <c r="M17" t="e">
        <f>SQRT((INDEX(#REF!,$B17+1,1)-INDEX(#REF!,M$1+1,1))^2+(INDEX(#REF!,$B17+1,2)-INDEX(#REF!,M$1+1,2))^2)</f>
        <v>#REF!</v>
      </c>
      <c r="N17" t="e">
        <f>SQRT((INDEX(#REF!,$B17+1,1)-INDEX(#REF!,N$1+1,1))^2+(INDEX(#REF!,$B17+1,2)-INDEX(#REF!,N$1+1,2))^2)</f>
        <v>#REF!</v>
      </c>
      <c r="O17" t="e">
        <f>SQRT((INDEX(#REF!,$B17+1,1)-INDEX(#REF!,O$1+1,1))^2+(INDEX(#REF!,$B17+1,2)-INDEX(#REF!,O$1+1,2))^2)</f>
        <v>#REF!</v>
      </c>
      <c r="P17" t="e">
        <f>SQRT((INDEX(#REF!,$B17+1,1)-INDEX(#REF!,P$1+1,1))^2+(INDEX(#REF!,$B17+1,2)-INDEX(#REF!,P$1+1,2))^2)</f>
        <v>#REF!</v>
      </c>
      <c r="Q17" t="e">
        <f>SQRT((INDEX(#REF!,$B17+1,1)-INDEX(#REF!,Q$1+1,1))^2+(INDEX(#REF!,$B17+1,2)-INDEX(#REF!,Q$1+1,2))^2)</f>
        <v>#REF!</v>
      </c>
      <c r="R17" t="e">
        <f>SQRT((INDEX(#REF!,$B17+1,1)-INDEX(#REF!,R$1+1,1))^2+(INDEX(#REF!,$B17+1,2)-INDEX(#REF!,R$1+1,2))^2)</f>
        <v>#REF!</v>
      </c>
      <c r="S17" s="2" t="e">
        <f>SQRT((INDEX(#REF!,$B17+1,1)-INDEX(#REF!,S$1+1,1))^2+(INDEX(#REF!,$B17+1,2)-INDEX(#REF!,S$1+1,2))^2)</f>
        <v>#REF!</v>
      </c>
      <c r="T17" t="e">
        <f>SQRT((INDEX(#REF!,$B17+1,1)-INDEX(#REF!,T$1+1,1))^2+(INDEX(#REF!,$B17+1,2)-INDEX(#REF!,T$1+1,2))^2)</f>
        <v>#REF!</v>
      </c>
      <c r="U17" t="e">
        <f>SQRT((INDEX(#REF!,$B17+1,1)-INDEX(#REF!,U$1+1,1))^2+(INDEX(#REF!,$B17+1,2)-INDEX(#REF!,U$1+1,2))^2)</f>
        <v>#REF!</v>
      </c>
      <c r="V17" t="e">
        <f>SQRT((INDEX(#REF!,$B17+1,1)-INDEX(#REF!,V$1+1,1))^2+(INDEX(#REF!,$B17+1,2)-INDEX(#REF!,V$1+1,2))^2)</f>
        <v>#REF!</v>
      </c>
      <c r="W17" t="e">
        <f>SQRT((INDEX(#REF!,$B17+1,1)-INDEX(#REF!,W$1+1,1))^2+(INDEX(#REF!,$B17+1,2)-INDEX(#REF!,W$1+1,2))^2)</f>
        <v>#REF!</v>
      </c>
      <c r="X17" t="e">
        <f>SQRT((INDEX(#REF!,$B17+1,1)-INDEX(#REF!,X$1+1,1))^2+(INDEX(#REF!,$B17+1,2)-INDEX(#REF!,X$1+1,2))^2)</f>
        <v>#REF!</v>
      </c>
      <c r="Y17" t="e">
        <f>SQRT((INDEX(#REF!,$B17+1,1)-INDEX(#REF!,Y$1+1,1))^2+(INDEX(#REF!,$B17+1,2)-INDEX(#REF!,Y$1+1,2))^2)</f>
        <v>#REF!</v>
      </c>
      <c r="Z17" t="e">
        <f>SQRT((INDEX(#REF!,$B17+1,1)-INDEX(#REF!,Z$1+1,1))^2+(INDEX(#REF!,$B17+1,2)-INDEX(#REF!,Z$1+1,2))^2)</f>
        <v>#REF!</v>
      </c>
      <c r="AA17" t="e">
        <f>SQRT((INDEX(#REF!,$B17+1,1)-INDEX(#REF!,AA$1+1,1))^2+(INDEX(#REF!,$B17+1,2)-INDEX(#REF!,AA$1+1,2))^2)</f>
        <v>#REF!</v>
      </c>
      <c r="AB17" t="e">
        <f>SQRT((INDEX(#REF!,$B17+1,1)-INDEX(#REF!,AB$1+1,1))^2+(INDEX(#REF!,$B17+1,2)-INDEX(#REF!,AB$1+1,2))^2)</f>
        <v>#REF!</v>
      </c>
    </row>
    <row r="20" spans="2:28" x14ac:dyDescent="0.25">
      <c r="B20" s="5"/>
      <c r="C20" s="4" t="s">
        <v>2</v>
      </c>
      <c r="D20" s="1" t="s">
        <v>6</v>
      </c>
      <c r="E20" s="1" t="s">
        <v>7</v>
      </c>
      <c r="F20" s="1" t="s">
        <v>3</v>
      </c>
      <c r="G20" s="1" t="s">
        <v>8</v>
      </c>
      <c r="H20" s="1" t="s">
        <v>9</v>
      </c>
      <c r="I20" s="1" t="s">
        <v>10</v>
      </c>
      <c r="J20" s="1" t="s">
        <v>11</v>
      </c>
      <c r="K20" s="1" t="s">
        <v>12</v>
      </c>
      <c r="L20" s="1" t="s">
        <v>13</v>
      </c>
      <c r="M20" s="1" t="s">
        <v>5</v>
      </c>
      <c r="N20" s="1" t="s">
        <v>14</v>
      </c>
      <c r="O20" s="1" t="s">
        <v>15</v>
      </c>
      <c r="P20" s="1" t="s">
        <v>16</v>
      </c>
      <c r="Q20" s="1" t="s">
        <v>4</v>
      </c>
      <c r="R20" s="1" t="s">
        <v>17</v>
      </c>
    </row>
    <row r="21" spans="2:28" x14ac:dyDescent="0.25">
      <c r="B21" s="4" t="s">
        <v>2</v>
      </c>
      <c r="C21" s="5"/>
      <c r="D21" s="3">
        <v>14</v>
      </c>
      <c r="E21" s="3">
        <v>13</v>
      </c>
      <c r="F21" s="3">
        <v>16</v>
      </c>
      <c r="G21" s="3">
        <v>8</v>
      </c>
      <c r="H21" s="3">
        <v>17</v>
      </c>
      <c r="I21" s="3">
        <v>3</v>
      </c>
      <c r="J21" s="3">
        <v>13</v>
      </c>
      <c r="K21" s="3">
        <v>22</v>
      </c>
      <c r="L21" s="3">
        <v>6</v>
      </c>
      <c r="M21" s="3">
        <v>11</v>
      </c>
      <c r="N21" s="3">
        <v>22</v>
      </c>
      <c r="O21" s="3">
        <v>23</v>
      </c>
      <c r="P21" s="3">
        <v>9</v>
      </c>
      <c r="Q21" s="3">
        <v>11</v>
      </c>
      <c r="R21" s="3">
        <v>19</v>
      </c>
    </row>
    <row r="22" spans="2:28" x14ac:dyDescent="0.25">
      <c r="B22" s="1" t="s">
        <v>6</v>
      </c>
      <c r="C22" s="3">
        <v>14</v>
      </c>
      <c r="D22" s="5"/>
      <c r="E22" s="3">
        <v>21</v>
      </c>
      <c r="F22" s="3">
        <v>29</v>
      </c>
      <c r="G22" s="3">
        <v>13</v>
      </c>
      <c r="H22" s="3">
        <v>10</v>
      </c>
      <c r="I22" s="3">
        <v>17</v>
      </c>
      <c r="J22" s="3">
        <v>26</v>
      </c>
      <c r="K22" s="3">
        <v>26</v>
      </c>
      <c r="L22" s="3">
        <v>15</v>
      </c>
      <c r="M22" s="3">
        <v>24</v>
      </c>
      <c r="N22" s="3">
        <v>30</v>
      </c>
      <c r="O22" s="3">
        <v>19</v>
      </c>
      <c r="P22" s="3">
        <v>9</v>
      </c>
      <c r="Q22" s="3">
        <v>5</v>
      </c>
      <c r="R22" s="3">
        <v>33</v>
      </c>
    </row>
    <row r="23" spans="2:28" x14ac:dyDescent="0.25">
      <c r="B23" s="1" t="s">
        <v>7</v>
      </c>
      <c r="C23" s="3">
        <v>13</v>
      </c>
      <c r="D23" s="3">
        <v>21</v>
      </c>
      <c r="E23" s="5"/>
      <c r="F23" s="3">
        <v>24</v>
      </c>
      <c r="G23" s="3">
        <v>21</v>
      </c>
      <c r="H23" s="3">
        <v>16</v>
      </c>
      <c r="I23" s="3">
        <v>12</v>
      </c>
      <c r="J23" s="3">
        <v>10</v>
      </c>
      <c r="K23" s="3">
        <v>35</v>
      </c>
      <c r="L23" s="3">
        <v>19</v>
      </c>
      <c r="M23" s="3">
        <v>19</v>
      </c>
      <c r="N23" s="3">
        <v>10</v>
      </c>
      <c r="O23" s="3">
        <v>35</v>
      </c>
      <c r="P23" s="3">
        <v>21</v>
      </c>
      <c r="Q23" s="3">
        <v>16</v>
      </c>
      <c r="R23" s="3">
        <v>24</v>
      </c>
    </row>
    <row r="24" spans="2:28" x14ac:dyDescent="0.25">
      <c r="B24" s="1" t="s">
        <v>3</v>
      </c>
      <c r="C24" s="3">
        <v>16</v>
      </c>
      <c r="D24" s="3">
        <v>29</v>
      </c>
      <c r="E24" s="3">
        <v>24</v>
      </c>
      <c r="F24" s="5"/>
      <c r="G24" s="3">
        <v>17</v>
      </c>
      <c r="H24" s="3">
        <v>33</v>
      </c>
      <c r="I24" s="3">
        <v>14</v>
      </c>
      <c r="J24" s="3">
        <v>16</v>
      </c>
      <c r="K24" s="3">
        <v>20</v>
      </c>
      <c r="L24" s="3">
        <v>14</v>
      </c>
      <c r="M24" s="3">
        <v>5</v>
      </c>
      <c r="N24" s="3">
        <v>29</v>
      </c>
      <c r="O24" s="3">
        <v>29</v>
      </c>
      <c r="P24" s="3">
        <v>21</v>
      </c>
      <c r="Q24" s="3">
        <v>26</v>
      </c>
      <c r="R24" s="3">
        <v>6</v>
      </c>
    </row>
    <row r="25" spans="2:28" x14ac:dyDescent="0.25">
      <c r="B25" s="1" t="s">
        <v>8</v>
      </c>
      <c r="C25" s="3">
        <v>8</v>
      </c>
      <c r="D25" s="3">
        <v>13</v>
      </c>
      <c r="E25" s="3">
        <v>21</v>
      </c>
      <c r="F25" s="3">
        <v>17</v>
      </c>
      <c r="G25" s="5"/>
      <c r="H25" s="3">
        <v>20</v>
      </c>
      <c r="I25" s="3">
        <v>10</v>
      </c>
      <c r="J25" s="3">
        <v>21</v>
      </c>
      <c r="K25" s="3">
        <v>16</v>
      </c>
      <c r="L25" s="3">
        <v>3</v>
      </c>
      <c r="M25" s="3">
        <v>13</v>
      </c>
      <c r="N25" s="3">
        <v>30</v>
      </c>
      <c r="O25" s="3">
        <v>16</v>
      </c>
      <c r="P25" s="3">
        <v>4</v>
      </c>
      <c r="Q25" s="3">
        <v>12</v>
      </c>
      <c r="R25" s="3">
        <v>22</v>
      </c>
    </row>
    <row r="26" spans="2:28" x14ac:dyDescent="0.25">
      <c r="B26" s="1" t="s">
        <v>9</v>
      </c>
      <c r="C26" s="3">
        <v>17</v>
      </c>
      <c r="D26" s="3">
        <v>10</v>
      </c>
      <c r="E26" s="3">
        <v>16</v>
      </c>
      <c r="F26" s="3">
        <v>33</v>
      </c>
      <c r="G26" s="3">
        <v>20</v>
      </c>
      <c r="H26" s="5"/>
      <c r="I26" s="3">
        <v>19</v>
      </c>
      <c r="J26" s="3">
        <v>25</v>
      </c>
      <c r="K26" s="3">
        <v>35</v>
      </c>
      <c r="L26" s="3">
        <v>21</v>
      </c>
      <c r="M26" s="3">
        <v>28</v>
      </c>
      <c r="N26" s="3">
        <v>25</v>
      </c>
      <c r="O26" s="3">
        <v>29</v>
      </c>
      <c r="P26" s="3">
        <v>17</v>
      </c>
      <c r="Q26" s="3">
        <v>8</v>
      </c>
      <c r="R26" s="3">
        <v>36</v>
      </c>
    </row>
    <row r="27" spans="2:28" x14ac:dyDescent="0.25">
      <c r="B27" s="1" t="s">
        <v>10</v>
      </c>
      <c r="C27" s="3">
        <v>3</v>
      </c>
      <c r="D27" s="3">
        <v>17</v>
      </c>
      <c r="E27" s="3">
        <v>12</v>
      </c>
      <c r="F27" s="3">
        <v>14</v>
      </c>
      <c r="G27" s="3">
        <v>10</v>
      </c>
      <c r="H27" s="3">
        <v>19</v>
      </c>
      <c r="I27" s="5"/>
      <c r="J27" s="3">
        <v>10</v>
      </c>
      <c r="K27" s="3">
        <v>24</v>
      </c>
      <c r="L27" s="3">
        <v>8</v>
      </c>
      <c r="M27" s="3">
        <v>9</v>
      </c>
      <c r="N27" s="3">
        <v>20</v>
      </c>
      <c r="O27" s="3">
        <v>26</v>
      </c>
      <c r="P27" s="3">
        <v>12</v>
      </c>
      <c r="Q27" s="3">
        <v>13</v>
      </c>
      <c r="R27" s="3">
        <v>17</v>
      </c>
    </row>
    <row r="28" spans="2:28" x14ac:dyDescent="0.25">
      <c r="B28" s="1" t="s">
        <v>11</v>
      </c>
      <c r="C28" s="3">
        <v>13</v>
      </c>
      <c r="D28" s="3">
        <v>26</v>
      </c>
      <c r="E28" s="3">
        <v>10</v>
      </c>
      <c r="F28" s="3">
        <v>16</v>
      </c>
      <c r="G28" s="3">
        <v>21</v>
      </c>
      <c r="H28" s="3">
        <v>25</v>
      </c>
      <c r="I28" s="3">
        <v>10</v>
      </c>
      <c r="J28" s="5"/>
      <c r="K28" s="3">
        <v>33</v>
      </c>
      <c r="L28" s="3">
        <v>18</v>
      </c>
      <c r="M28" s="3">
        <v>13</v>
      </c>
      <c r="N28" s="3">
        <v>12</v>
      </c>
      <c r="O28" s="3">
        <v>36</v>
      </c>
      <c r="P28" s="3">
        <v>23</v>
      </c>
      <c r="Q28" s="3">
        <v>21</v>
      </c>
      <c r="R28" s="3">
        <v>15</v>
      </c>
    </row>
    <row r="29" spans="2:28" x14ac:dyDescent="0.25">
      <c r="B29" s="1" t="s">
        <v>12</v>
      </c>
      <c r="C29" s="3">
        <v>22</v>
      </c>
      <c r="D29" s="3">
        <v>26</v>
      </c>
      <c r="E29" s="3">
        <v>35</v>
      </c>
      <c r="F29" s="3">
        <v>20</v>
      </c>
      <c r="G29" s="3">
        <v>16</v>
      </c>
      <c r="H29" s="3">
        <v>35</v>
      </c>
      <c r="I29" s="3">
        <v>24</v>
      </c>
      <c r="J29" s="3">
        <v>33</v>
      </c>
      <c r="K29" s="5"/>
      <c r="L29" s="3">
        <v>17</v>
      </c>
      <c r="M29" s="3">
        <v>21</v>
      </c>
      <c r="N29" s="3">
        <v>44</v>
      </c>
      <c r="O29" s="3">
        <v>13</v>
      </c>
      <c r="P29" s="3">
        <v>18</v>
      </c>
      <c r="Q29" s="3">
        <v>27</v>
      </c>
      <c r="R29" s="3">
        <v>26</v>
      </c>
    </row>
    <row r="30" spans="2:28" x14ac:dyDescent="0.25">
      <c r="B30" s="1" t="s">
        <v>13</v>
      </c>
      <c r="C30" s="3">
        <v>6</v>
      </c>
      <c r="D30" s="3">
        <v>15</v>
      </c>
      <c r="E30" s="3">
        <v>19</v>
      </c>
      <c r="F30" s="3">
        <v>14</v>
      </c>
      <c r="G30" s="3">
        <v>3</v>
      </c>
      <c r="H30" s="3">
        <v>21</v>
      </c>
      <c r="I30" s="3">
        <v>8</v>
      </c>
      <c r="J30" s="3">
        <v>18</v>
      </c>
      <c r="K30" s="3">
        <v>17</v>
      </c>
      <c r="L30" s="5"/>
      <c r="M30" s="3">
        <v>10</v>
      </c>
      <c r="N30" s="3">
        <v>28</v>
      </c>
      <c r="O30" s="3">
        <v>18</v>
      </c>
      <c r="P30" s="3">
        <v>7</v>
      </c>
      <c r="Q30" s="3">
        <v>13</v>
      </c>
      <c r="R30" s="3">
        <v>19</v>
      </c>
    </row>
    <row r="31" spans="2:28" x14ac:dyDescent="0.25">
      <c r="B31" s="1" t="s">
        <v>5</v>
      </c>
      <c r="C31" s="3">
        <v>11</v>
      </c>
      <c r="D31" s="3">
        <v>24</v>
      </c>
      <c r="E31" s="3">
        <v>19</v>
      </c>
      <c r="F31" s="3">
        <v>5</v>
      </c>
      <c r="G31" s="3">
        <v>13</v>
      </c>
      <c r="H31" s="3">
        <v>28</v>
      </c>
      <c r="I31" s="3">
        <v>9</v>
      </c>
      <c r="J31" s="3">
        <v>13</v>
      </c>
      <c r="K31" s="3">
        <v>21</v>
      </c>
      <c r="L31" s="3">
        <v>10</v>
      </c>
      <c r="M31" s="5"/>
      <c r="N31" s="3">
        <v>25</v>
      </c>
      <c r="O31" s="3">
        <v>27</v>
      </c>
      <c r="P31" s="3">
        <v>17</v>
      </c>
      <c r="Q31" s="3">
        <v>21</v>
      </c>
      <c r="R31" s="3">
        <v>9</v>
      </c>
    </row>
    <row r="32" spans="2:28" x14ac:dyDescent="0.25">
      <c r="B32" s="1" t="s">
        <v>14</v>
      </c>
      <c r="C32" s="3">
        <v>22</v>
      </c>
      <c r="D32" s="3">
        <v>30</v>
      </c>
      <c r="E32" s="3">
        <v>10</v>
      </c>
      <c r="F32" s="3">
        <v>29</v>
      </c>
      <c r="G32" s="3">
        <v>30</v>
      </c>
      <c r="H32" s="3">
        <v>25</v>
      </c>
      <c r="I32" s="3">
        <v>20</v>
      </c>
      <c r="J32" s="3">
        <v>12</v>
      </c>
      <c r="K32" s="3">
        <v>44</v>
      </c>
      <c r="L32" s="3">
        <v>28</v>
      </c>
      <c r="M32" s="3">
        <v>25</v>
      </c>
      <c r="N32" s="5"/>
      <c r="O32" s="3">
        <v>45</v>
      </c>
      <c r="P32" s="3">
        <v>30</v>
      </c>
      <c r="Q32" s="3">
        <v>25</v>
      </c>
      <c r="R32" s="3">
        <v>27</v>
      </c>
    </row>
    <row r="33" spans="2:18" x14ac:dyDescent="0.25">
      <c r="B33" s="1" t="s">
        <v>15</v>
      </c>
      <c r="C33" s="3">
        <v>23</v>
      </c>
      <c r="D33" s="3">
        <v>19</v>
      </c>
      <c r="E33" s="3">
        <v>35</v>
      </c>
      <c r="F33" s="3">
        <v>29</v>
      </c>
      <c r="G33" s="3">
        <v>16</v>
      </c>
      <c r="H33" s="3">
        <v>29</v>
      </c>
      <c r="I33" s="3">
        <v>26</v>
      </c>
      <c r="J33" s="3">
        <v>36</v>
      </c>
      <c r="K33" s="3">
        <v>13</v>
      </c>
      <c r="L33" s="3">
        <v>18</v>
      </c>
      <c r="M33" s="3">
        <v>27</v>
      </c>
      <c r="N33" s="3">
        <v>45</v>
      </c>
      <c r="O33" s="5"/>
      <c r="P33" s="3">
        <v>15</v>
      </c>
      <c r="Q33" s="3">
        <v>22</v>
      </c>
      <c r="R33" s="3">
        <v>35</v>
      </c>
    </row>
    <row r="34" spans="2:18" x14ac:dyDescent="0.25">
      <c r="B34" s="1" t="s">
        <v>16</v>
      </c>
      <c r="C34" s="3">
        <v>9</v>
      </c>
      <c r="D34" s="3">
        <v>9</v>
      </c>
      <c r="E34" s="3">
        <v>21</v>
      </c>
      <c r="F34" s="3">
        <v>21</v>
      </c>
      <c r="G34" s="3">
        <v>4</v>
      </c>
      <c r="H34" s="3">
        <v>17</v>
      </c>
      <c r="I34" s="3">
        <v>12</v>
      </c>
      <c r="J34" s="3">
        <v>23</v>
      </c>
      <c r="K34" s="3">
        <v>18</v>
      </c>
      <c r="L34" s="3">
        <v>7</v>
      </c>
      <c r="M34" s="3">
        <v>17</v>
      </c>
      <c r="N34" s="3">
        <v>30</v>
      </c>
      <c r="O34" s="3">
        <v>15</v>
      </c>
      <c r="P34" s="5"/>
      <c r="Q34" s="3">
        <v>9</v>
      </c>
      <c r="R34" s="3">
        <v>26</v>
      </c>
    </row>
    <row r="35" spans="2:18" x14ac:dyDescent="0.25">
      <c r="B35" s="1" t="s">
        <v>4</v>
      </c>
      <c r="C35" s="3">
        <v>11</v>
      </c>
      <c r="D35" s="3">
        <v>5</v>
      </c>
      <c r="E35" s="3">
        <v>16</v>
      </c>
      <c r="F35" s="3">
        <v>26</v>
      </c>
      <c r="G35" s="3">
        <v>12</v>
      </c>
      <c r="H35" s="3">
        <v>8</v>
      </c>
      <c r="I35" s="3">
        <v>13</v>
      </c>
      <c r="J35" s="3">
        <v>21</v>
      </c>
      <c r="K35" s="3">
        <v>27</v>
      </c>
      <c r="L35" s="3">
        <v>13</v>
      </c>
      <c r="M35" s="3">
        <v>21</v>
      </c>
      <c r="N35" s="3">
        <v>25</v>
      </c>
      <c r="O35" s="3">
        <v>22</v>
      </c>
      <c r="P35" s="3">
        <v>9</v>
      </c>
      <c r="Q35" s="5"/>
      <c r="R35" s="3">
        <v>30</v>
      </c>
    </row>
    <row r="36" spans="2:18" x14ac:dyDescent="0.25">
      <c r="B36" s="1" t="s">
        <v>17</v>
      </c>
      <c r="C36" s="3">
        <v>19</v>
      </c>
      <c r="D36" s="3">
        <v>33</v>
      </c>
      <c r="E36" s="3">
        <v>24</v>
      </c>
      <c r="F36" s="3">
        <v>6</v>
      </c>
      <c r="G36" s="3">
        <v>22</v>
      </c>
      <c r="H36" s="3">
        <v>36</v>
      </c>
      <c r="I36" s="3">
        <v>17</v>
      </c>
      <c r="J36" s="3">
        <v>15</v>
      </c>
      <c r="K36" s="3">
        <v>26</v>
      </c>
      <c r="L36" s="3">
        <v>19</v>
      </c>
      <c r="M36" s="3">
        <v>9</v>
      </c>
      <c r="N36" s="3">
        <v>27</v>
      </c>
      <c r="O36" s="3">
        <v>35</v>
      </c>
      <c r="P36" s="3">
        <v>26</v>
      </c>
      <c r="Q36" s="3">
        <v>30</v>
      </c>
      <c r="R36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Instancia</vt:lpstr>
      <vt:lpstr>Ahorros</vt:lpstr>
      <vt:lpstr>Distancias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</dc:creator>
  <cp:lastModifiedBy>Usurio</cp:lastModifiedBy>
  <dcterms:created xsi:type="dcterms:W3CDTF">2014-07-06T20:10:51Z</dcterms:created>
  <dcterms:modified xsi:type="dcterms:W3CDTF">2020-10-07T14:30:22Z</dcterms:modified>
</cp:coreProperties>
</file>